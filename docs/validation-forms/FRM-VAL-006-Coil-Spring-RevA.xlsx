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rnell\Desktop\"/>
    </mc:Choice>
  </mc:AlternateContent>
  <xr:revisionPtr revIDLastSave="0" documentId="8_{B818363A-3AE7-44E3-8E14-93A4C1F6F12E}" xr6:coauthVersionLast="47" xr6:coauthVersionMax="47" xr10:uidLastSave="{00000000-0000-0000-0000-000000000000}"/>
  <bookViews>
    <workbookView xWindow="-120" yWindow="-120" windowWidth="29040" windowHeight="15720" xr2:uid="{CC544661-5602-4ACF-A317-E088DE8F6F0B}"/>
  </bookViews>
  <sheets>
    <sheet name="FRM-VAL-006 - Coil Spring Val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I15" i="1"/>
  <c r="I14" i="1"/>
  <c r="H12" i="1"/>
  <c r="I12" i="1" s="1"/>
  <c r="D23" i="1"/>
  <c r="C23" i="1"/>
  <c r="H13" i="1" l="1"/>
  <c r="I13" i="1" s="1"/>
  <c r="H16" i="1"/>
  <c r="I16" i="1" s="1"/>
  <c r="H17" i="1"/>
  <c r="I17" i="1" s="1"/>
  <c r="H18" i="1"/>
  <c r="I18" i="1" s="1"/>
  <c r="H19" i="1"/>
  <c r="I19" i="1" s="1"/>
  <c r="H23" i="1"/>
  <c r="I23" i="1" s="1"/>
  <c r="H24" i="1"/>
  <c r="I24" i="1" s="1"/>
  <c r="H26" i="1"/>
  <c r="I26" i="1" s="1"/>
  <c r="G31" i="1" l="1"/>
  <c r="G32" i="1" s="1"/>
  <c r="E32" i="1" l="1"/>
  <c r="C32" i="1"/>
</calcChain>
</file>

<file path=xl/sharedStrings.xml><?xml version="1.0" encoding="utf-8"?>
<sst xmlns="http://schemas.openxmlformats.org/spreadsheetml/2006/main" count="75" uniqueCount="58">
  <si>
    <t>Parameter</t>
  </si>
  <si>
    <t>Nominal</t>
  </si>
  <si>
    <t>Min</t>
  </si>
  <si>
    <t>Max</t>
  </si>
  <si>
    <t>AVERAGE</t>
  </si>
  <si>
    <t>RESULT</t>
  </si>
  <si>
    <t>Wire Diameter (d) [mm]</t>
  </si>
  <si>
    <t>Outside Body Dia (OD) [mm]</t>
  </si>
  <si>
    <t>Top Coil Dia [mm]</t>
  </si>
  <si>
    <t>Bottom Coil Dia [mm]</t>
  </si>
  <si>
    <t>Free Height (L0) [mm]</t>
  </si>
  <si>
    <t>Total Coil Count</t>
  </si>
  <si>
    <t>Test Parameter</t>
  </si>
  <si>
    <t>Requirement</t>
  </si>
  <si>
    <t>Pass</t>
  </si>
  <si>
    <t>Fail</t>
  </si>
  <si>
    <t>Max Design Force (Fmax) [N]</t>
  </si>
  <si>
    <t>Wahl Max Shear Stress [MPa]</t>
  </si>
  <si>
    <t>&lt;= 1200 MPa</t>
  </si>
  <si>
    <t>Stress Validation Status</t>
  </si>
  <si>
    <t>Must Pass</t>
  </si>
  <si>
    <t>Visual / Paint Inspection</t>
  </si>
  <si>
    <t>Tested to Specs</t>
  </si>
  <si>
    <t>Rev: A</t>
  </si>
  <si>
    <t>Approved By:</t>
  </si>
  <si>
    <t>Maxwell Tollefson</t>
  </si>
  <si>
    <t>COIL SPRING VALIDATION DOCUMENT</t>
  </si>
  <si>
    <t>Effective Date:</t>
  </si>
  <si>
    <t>Purpose: To validate incoming First Article or production Coil Springs against the approved DMA engineering drawing.</t>
  </si>
  <si>
    <t>Sample 1</t>
  </si>
  <si>
    <t>Sample 2</t>
  </si>
  <si>
    <t>Sample 3</t>
  </si>
  <si>
    <t>Spring Rate 1 (Initial) [kgf/mm]</t>
  </si>
  <si>
    <t>Spring Rate 2 (Final) [kgf/mm]</t>
  </si>
  <si>
    <t>Installed Height at Load (mm)</t>
  </si>
  <si>
    <t>Top Coil Type</t>
  </si>
  <si>
    <t>Bottom Coil Type</t>
  </si>
  <si>
    <t>N/A</t>
  </si>
  <si>
    <t>FINAL DISPOSITION:</t>
  </si>
  <si>
    <t>[ ] REJECTED</t>
  </si>
  <si>
    <t xml:space="preserve"> [ ] APPROVED WITH DEVIATION</t>
  </si>
  <si>
    <t>Authorized By (Signature):</t>
  </si>
  <si>
    <t>Deviation/Rejection Notes:</t>
  </si>
  <si>
    <t>1.0 PART &amp; INSPECTION INFORMATION</t>
  </si>
  <si>
    <t>DMA Part Number:</t>
  </si>
  <si>
    <t>Supplier / Factory:</t>
  </si>
  <si>
    <t>Inspected By:</t>
  </si>
  <si>
    <t>OE Part Number:</t>
  </si>
  <si>
    <t>Lot / PO Number:</t>
  </si>
  <si>
    <t>Inspection Date:</t>
  </si>
  <si>
    <t>2.0 DIMENSIONAL PARAMETERS</t>
  </si>
  <si>
    <t>3.0 DYNAMIC PARAMETERS</t>
  </si>
  <si>
    <t>4.0 MISCELLANEOUS</t>
  </si>
  <si>
    <t>Installed Load (kgf)</t>
  </si>
  <si>
    <t>Doc ID: FRM-VAL-006</t>
  </si>
  <si>
    <t>Tangential</t>
  </si>
  <si>
    <t>Pigtail</t>
  </si>
  <si>
    <t>[ X ]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</si>
</sst>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14" fontId="0" fillId="0" borderId="16" xfId="0" applyNumberForma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14" fontId="0" fillId="0" borderId="19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0FE3-0628-4EA6-97F5-2F6E0B73C09A}">
  <dimension ref="A1:I37"/>
  <sheetViews>
    <sheetView tabSelected="1" workbookViewId="0">
      <selection activeCell="E15" sqref="E15"/>
    </sheetView>
  </sheetViews>
  <sheetFormatPr defaultRowHeight="15" x14ac:dyDescent="0.25"/>
  <cols>
    <col min="1" max="1" width="27.42578125" style="4" customWidth="1"/>
    <col min="2" max="9" width="15" style="4" customWidth="1"/>
    <col min="10" max="16384" width="9.140625" style="4"/>
  </cols>
  <sheetData>
    <row r="1" spans="1:9" ht="29.25" customHeight="1" x14ac:dyDescent="0.25">
      <c r="A1" s="44" t="s">
        <v>26</v>
      </c>
      <c r="B1" s="45"/>
      <c r="C1" s="45"/>
      <c r="D1" s="45"/>
      <c r="E1" s="45"/>
      <c r="F1" s="45"/>
      <c r="G1" s="45"/>
      <c r="H1" s="45"/>
      <c r="I1" s="46"/>
    </row>
    <row r="2" spans="1:9" ht="29.25" customHeight="1" x14ac:dyDescent="0.25">
      <c r="A2" s="1" t="s">
        <v>54</v>
      </c>
      <c r="B2" s="39" t="s">
        <v>23</v>
      </c>
      <c r="C2" s="39"/>
      <c r="D2" s="2" t="s">
        <v>27</v>
      </c>
      <c r="E2" s="5">
        <v>46107</v>
      </c>
      <c r="F2" s="2" t="s">
        <v>24</v>
      </c>
      <c r="G2" s="24" t="s">
        <v>25</v>
      </c>
      <c r="H2" s="25"/>
      <c r="I2" s="26"/>
    </row>
    <row r="3" spans="1:9" ht="29.25" customHeight="1" thickBot="1" x14ac:dyDescent="0.3">
      <c r="A3" s="47" t="s">
        <v>28</v>
      </c>
      <c r="B3" s="48"/>
      <c r="C3" s="48"/>
      <c r="D3" s="48"/>
      <c r="E3" s="48"/>
      <c r="F3" s="48"/>
      <c r="G3" s="48"/>
      <c r="H3" s="48"/>
      <c r="I3" s="49"/>
    </row>
    <row r="4" spans="1:9" ht="29.25" customHeight="1" thickBot="1" x14ac:dyDescent="0.3">
      <c r="A4" s="21"/>
      <c r="B4" s="22"/>
      <c r="C4" s="22"/>
      <c r="D4" s="22"/>
      <c r="E4" s="22"/>
      <c r="F4" s="22"/>
      <c r="G4" s="22"/>
      <c r="H4" s="22"/>
      <c r="I4" s="23"/>
    </row>
    <row r="5" spans="1:9" ht="29.25" customHeight="1" x14ac:dyDescent="0.25">
      <c r="A5" s="50" t="s">
        <v>43</v>
      </c>
      <c r="B5" s="51"/>
      <c r="C5" s="51"/>
      <c r="D5" s="51"/>
      <c r="E5" s="51"/>
      <c r="F5" s="51"/>
      <c r="G5" s="51"/>
      <c r="H5" s="51"/>
      <c r="I5" s="52"/>
    </row>
    <row r="6" spans="1:9" ht="29.25" customHeight="1" x14ac:dyDescent="0.25">
      <c r="A6" s="10" t="s">
        <v>44</v>
      </c>
      <c r="B6" s="17"/>
      <c r="C6" s="17"/>
      <c r="D6" s="17"/>
      <c r="E6" s="39" t="s">
        <v>47</v>
      </c>
      <c r="F6" s="39"/>
      <c r="G6" s="17"/>
      <c r="H6" s="17"/>
      <c r="I6" s="18"/>
    </row>
    <row r="7" spans="1:9" ht="29.25" customHeight="1" x14ac:dyDescent="0.25">
      <c r="A7" s="10" t="s">
        <v>45</v>
      </c>
      <c r="B7" s="17"/>
      <c r="C7" s="17"/>
      <c r="D7" s="17"/>
      <c r="E7" s="39" t="s">
        <v>48</v>
      </c>
      <c r="F7" s="39"/>
      <c r="G7" s="17"/>
      <c r="H7" s="17"/>
      <c r="I7" s="18"/>
    </row>
    <row r="8" spans="1:9" ht="29.25" customHeight="1" thickBot="1" x14ac:dyDescent="0.3">
      <c r="A8" s="11" t="s">
        <v>46</v>
      </c>
      <c r="B8" s="19"/>
      <c r="C8" s="19"/>
      <c r="D8" s="19"/>
      <c r="E8" s="53" t="s">
        <v>49</v>
      </c>
      <c r="F8" s="53"/>
      <c r="G8" s="54"/>
      <c r="H8" s="19"/>
      <c r="I8" s="20"/>
    </row>
    <row r="9" spans="1:9" ht="29.25" customHeight="1" thickBot="1" x14ac:dyDescent="0.3">
      <c r="A9" s="14"/>
      <c r="B9" s="15"/>
      <c r="C9" s="15"/>
      <c r="D9" s="15"/>
      <c r="E9" s="15"/>
      <c r="F9" s="15"/>
      <c r="G9" s="15"/>
      <c r="H9" s="15"/>
      <c r="I9" s="16"/>
    </row>
    <row r="10" spans="1:9" ht="29.25" customHeight="1" x14ac:dyDescent="0.25">
      <c r="A10" s="41" t="s">
        <v>50</v>
      </c>
      <c r="B10" s="42"/>
      <c r="C10" s="42"/>
      <c r="D10" s="42"/>
      <c r="E10" s="42"/>
      <c r="F10" s="42"/>
      <c r="G10" s="42"/>
      <c r="H10" s="42"/>
      <c r="I10" s="43"/>
    </row>
    <row r="11" spans="1:9" ht="29.25" customHeight="1" x14ac:dyDescent="0.25">
      <c r="A11" s="1" t="s">
        <v>0</v>
      </c>
      <c r="B11" s="2" t="s">
        <v>1</v>
      </c>
      <c r="C11" s="2" t="s">
        <v>2</v>
      </c>
      <c r="D11" s="2" t="s">
        <v>3</v>
      </c>
      <c r="E11" s="2" t="s">
        <v>29</v>
      </c>
      <c r="F11" s="2" t="s">
        <v>30</v>
      </c>
      <c r="G11" s="2" t="s">
        <v>31</v>
      </c>
      <c r="H11" s="2" t="s">
        <v>4</v>
      </c>
      <c r="I11" s="3" t="s">
        <v>5</v>
      </c>
    </row>
    <row r="12" spans="1:9" ht="29.25" customHeight="1" x14ac:dyDescent="0.25">
      <c r="A12" s="1" t="s">
        <v>6</v>
      </c>
      <c r="B12" s="2">
        <v>16</v>
      </c>
      <c r="C12" s="2">
        <v>-0.05</v>
      </c>
      <c r="D12" s="2">
        <v>0.05</v>
      </c>
      <c r="E12" s="2"/>
      <c r="F12" s="2"/>
      <c r="G12" s="2"/>
      <c r="H12" s="2" t="str">
        <f>IF(COUNT(E12:G12)=0,"",AVERAGE(E12:G12))</f>
        <v/>
      </c>
      <c r="I12" s="3" t="str">
        <f>IF(H12="","",IF(AND(H12&gt;=(B12+C12),H12&lt;=(B12+D12)),"PASS","FAIL"))</f>
        <v/>
      </c>
    </row>
    <row r="13" spans="1:9" ht="29.25" customHeight="1" x14ac:dyDescent="0.25">
      <c r="A13" s="1" t="s">
        <v>7</v>
      </c>
      <c r="B13" s="2">
        <v>129</v>
      </c>
      <c r="C13" s="2">
        <v>-1.5</v>
      </c>
      <c r="D13" s="2">
        <v>1.5</v>
      </c>
      <c r="E13" s="2"/>
      <c r="F13" s="2"/>
      <c r="G13" s="2"/>
      <c r="H13" s="2" t="str">
        <f t="shared" ref="H13:H19" si="0">IF(COUNT(E13:G13)=0,"",AVERAGE(E13:G13))</f>
        <v/>
      </c>
      <c r="I13" s="3" t="str">
        <f>IF(H13="","",IF(AND(H13&gt;=(B13+C13),H13&lt;=(B13+D13)),"PASS","FAIL"))</f>
        <v/>
      </c>
    </row>
    <row r="14" spans="1:9" ht="29.25" customHeight="1" x14ac:dyDescent="0.25">
      <c r="A14" s="1" t="s">
        <v>35</v>
      </c>
      <c r="B14" s="2" t="s">
        <v>55</v>
      </c>
      <c r="C14" s="2" t="s">
        <v>37</v>
      </c>
      <c r="D14" s="2" t="s">
        <v>37</v>
      </c>
      <c r="E14" s="2" t="s">
        <v>55</v>
      </c>
      <c r="F14" s="2"/>
      <c r="G14" s="2"/>
      <c r="H14" s="2" t="s">
        <v>37</v>
      </c>
      <c r="I14" s="3" t="str">
        <f>IF(E14="","",IF(AND(B14=E14,OR(B14=F14,F14=""),OR(B14=G14,G14="")),"PASS","FALSE"))</f>
        <v>PASS</v>
      </c>
    </row>
    <row r="15" spans="1:9" ht="29.25" customHeight="1" x14ac:dyDescent="0.25">
      <c r="A15" s="1" t="s">
        <v>36</v>
      </c>
      <c r="B15" s="2" t="s">
        <v>56</v>
      </c>
      <c r="C15" s="2" t="s">
        <v>37</v>
      </c>
      <c r="D15" s="2" t="s">
        <v>37</v>
      </c>
      <c r="E15" s="2" t="s">
        <v>56</v>
      </c>
      <c r="F15" s="2"/>
      <c r="G15" s="2"/>
      <c r="H15" s="2" t="s">
        <v>37</v>
      </c>
      <c r="I15" s="3" t="str">
        <f>IF(E15="","",IF(AND(B15=E15,OR(B15=F15,F15=""),OR(B15=G15,G15="")),"PASS","FALSE"))</f>
        <v>PASS</v>
      </c>
    </row>
    <row r="16" spans="1:9" ht="29.25" customHeight="1" x14ac:dyDescent="0.25">
      <c r="A16" s="1" t="s">
        <v>8</v>
      </c>
      <c r="B16" s="2">
        <v>86</v>
      </c>
      <c r="C16" s="2">
        <v>-1.5</v>
      </c>
      <c r="D16" s="2">
        <v>1.5</v>
      </c>
      <c r="E16" s="2"/>
      <c r="F16" s="2"/>
      <c r="G16" s="2"/>
      <c r="H16" s="2" t="str">
        <f t="shared" si="0"/>
        <v/>
      </c>
      <c r="I16" s="3" t="str">
        <f t="shared" ref="I16:I19" si="1">IF(H16="","",IF(AND(H16&gt;=(B16+C16),H16&lt;=(B16+D16)),"PASS","FAIL"))</f>
        <v/>
      </c>
    </row>
    <row r="17" spans="1:9" ht="29.25" customHeight="1" x14ac:dyDescent="0.25">
      <c r="A17" s="1" t="s">
        <v>9</v>
      </c>
      <c r="B17" s="2">
        <v>59</v>
      </c>
      <c r="C17" s="2">
        <v>-1.5</v>
      </c>
      <c r="D17" s="2">
        <v>1.5</v>
      </c>
      <c r="E17" s="2"/>
      <c r="F17" s="2"/>
      <c r="G17" s="2"/>
      <c r="H17" s="2" t="str">
        <f t="shared" si="0"/>
        <v/>
      </c>
      <c r="I17" s="3" t="str">
        <f t="shared" si="1"/>
        <v/>
      </c>
    </row>
    <row r="18" spans="1:9" ht="29.25" customHeight="1" x14ac:dyDescent="0.25">
      <c r="A18" s="1" t="s">
        <v>10</v>
      </c>
      <c r="B18" s="2">
        <v>442</v>
      </c>
      <c r="C18" s="2">
        <v>-3</v>
      </c>
      <c r="D18" s="2">
        <v>3</v>
      </c>
      <c r="E18" s="2"/>
      <c r="F18" s="2"/>
      <c r="G18" s="2"/>
      <c r="H18" s="2" t="str">
        <f t="shared" si="0"/>
        <v/>
      </c>
      <c r="I18" s="3" t="str">
        <f t="shared" si="1"/>
        <v/>
      </c>
    </row>
    <row r="19" spans="1:9" ht="29.25" customHeight="1" thickBot="1" x14ac:dyDescent="0.3">
      <c r="A19" s="6" t="s">
        <v>11</v>
      </c>
      <c r="B19" s="7">
        <v>10.65</v>
      </c>
      <c r="C19" s="7">
        <v>-0.1</v>
      </c>
      <c r="D19" s="7">
        <v>0.1</v>
      </c>
      <c r="E19" s="7"/>
      <c r="F19" s="7"/>
      <c r="G19" s="7"/>
      <c r="H19" s="7" t="str">
        <f t="shared" si="0"/>
        <v/>
      </c>
      <c r="I19" s="8" t="str">
        <f t="shared" si="1"/>
        <v/>
      </c>
    </row>
    <row r="20" spans="1:9" ht="29.25" customHeight="1" thickBot="1" x14ac:dyDescent="0.3">
      <c r="A20" s="21"/>
      <c r="B20" s="22"/>
      <c r="C20" s="22"/>
      <c r="D20" s="22"/>
      <c r="E20" s="22"/>
      <c r="F20" s="22"/>
      <c r="G20" s="22"/>
      <c r="H20" s="22"/>
      <c r="I20" s="23"/>
    </row>
    <row r="21" spans="1:9" ht="29.25" customHeight="1" x14ac:dyDescent="0.25">
      <c r="A21" s="41" t="s">
        <v>51</v>
      </c>
      <c r="B21" s="42"/>
      <c r="C21" s="42"/>
      <c r="D21" s="42"/>
      <c r="E21" s="42"/>
      <c r="F21" s="42"/>
      <c r="G21" s="42"/>
      <c r="H21" s="42"/>
      <c r="I21" s="43"/>
    </row>
    <row r="22" spans="1:9" ht="29.25" customHeight="1" x14ac:dyDescent="0.25">
      <c r="A22" s="1" t="s">
        <v>0</v>
      </c>
      <c r="B22" s="2" t="s">
        <v>1</v>
      </c>
      <c r="C22" s="2" t="s">
        <v>2</v>
      </c>
      <c r="D22" s="2" t="s">
        <v>3</v>
      </c>
      <c r="E22" s="2" t="s">
        <v>29</v>
      </c>
      <c r="F22" s="2" t="s">
        <v>30</v>
      </c>
      <c r="G22" s="2" t="s">
        <v>31</v>
      </c>
      <c r="H22" s="2" t="s">
        <v>4</v>
      </c>
      <c r="I22" s="3" t="s">
        <v>5</v>
      </c>
    </row>
    <row r="23" spans="1:9" ht="29.25" customHeight="1" x14ac:dyDescent="0.25">
      <c r="A23" s="1" t="s">
        <v>32</v>
      </c>
      <c r="B23" s="2">
        <v>4.5999999999999996</v>
      </c>
      <c r="C23" s="2">
        <f>-(B23*0.05)</f>
        <v>-0.22999999999999998</v>
      </c>
      <c r="D23" s="2">
        <f>B23*0.05</f>
        <v>0.22999999999999998</v>
      </c>
      <c r="E23" s="2"/>
      <c r="F23" s="2"/>
      <c r="G23" s="2"/>
      <c r="H23" s="2" t="str">
        <f>IF(COUNT(E23:G23)=0,"",AVERAGE(E23:G23))</f>
        <v/>
      </c>
      <c r="I23" s="3" t="str">
        <f t="shared" ref="I23:I26" si="2">IF(H23="","",IF(AND(H23&gt;=(B23+C23),H23&lt;=(B23+D23)),"PASS","FAIL"))</f>
        <v/>
      </c>
    </row>
    <row r="24" spans="1:9" ht="29.25" customHeight="1" x14ac:dyDescent="0.25">
      <c r="A24" s="1" t="s">
        <v>33</v>
      </c>
      <c r="B24" s="2"/>
      <c r="C24" s="2">
        <v>-0.5</v>
      </c>
      <c r="D24" s="2">
        <v>0.5</v>
      </c>
      <c r="E24" s="2"/>
      <c r="F24" s="2"/>
      <c r="G24" s="2"/>
      <c r="H24" s="2" t="str">
        <f>IF(COUNT(E24:G24)=0,"",AVERAGE(E24:G24))</f>
        <v/>
      </c>
      <c r="I24" s="3" t="str">
        <f t="shared" si="2"/>
        <v/>
      </c>
    </row>
    <row r="25" spans="1:9" ht="29.25" customHeight="1" x14ac:dyDescent="0.25">
      <c r="A25" s="12" t="s">
        <v>53</v>
      </c>
      <c r="B25" s="30"/>
      <c r="C25" s="31"/>
      <c r="D25" s="31"/>
      <c r="E25" s="31"/>
      <c r="F25" s="31"/>
      <c r="G25" s="31"/>
      <c r="H25" s="31"/>
      <c r="I25" s="32"/>
    </row>
    <row r="26" spans="1:9" ht="29.25" customHeight="1" thickBot="1" x14ac:dyDescent="0.3">
      <c r="A26" s="6" t="s">
        <v>34</v>
      </c>
      <c r="B26" s="7">
        <v>254</v>
      </c>
      <c r="C26" s="7">
        <v>-10</v>
      </c>
      <c r="D26" s="7">
        <v>10</v>
      </c>
      <c r="E26" s="7"/>
      <c r="F26" s="7"/>
      <c r="G26" s="7"/>
      <c r="H26" s="7" t="str">
        <f>IF(COUNT(E26:G26)=0,"",AVERAGE(E26:G26))</f>
        <v/>
      </c>
      <c r="I26" s="8" t="str">
        <f t="shared" si="2"/>
        <v/>
      </c>
    </row>
    <row r="27" spans="1:9" ht="29.25" customHeight="1" thickBot="1" x14ac:dyDescent="0.3">
      <c r="A27" s="21"/>
      <c r="B27" s="22"/>
      <c r="C27" s="22"/>
      <c r="D27" s="22"/>
      <c r="E27" s="22"/>
      <c r="F27" s="22"/>
      <c r="G27" s="22"/>
      <c r="H27" s="22"/>
      <c r="I27" s="23"/>
    </row>
    <row r="28" spans="1:9" ht="29.25" customHeight="1" x14ac:dyDescent="0.25">
      <c r="A28" s="41" t="s">
        <v>52</v>
      </c>
      <c r="B28" s="42"/>
      <c r="C28" s="42"/>
      <c r="D28" s="42"/>
      <c r="E28" s="42"/>
      <c r="F28" s="42"/>
      <c r="G28" s="42"/>
      <c r="H28" s="42"/>
      <c r="I28" s="43"/>
    </row>
    <row r="29" spans="1:9" ht="29.25" customHeight="1" x14ac:dyDescent="0.25">
      <c r="A29" s="1" t="s">
        <v>12</v>
      </c>
      <c r="B29" s="2" t="s">
        <v>13</v>
      </c>
      <c r="C29" s="39" t="s">
        <v>14</v>
      </c>
      <c r="D29" s="39"/>
      <c r="E29" s="24" t="s">
        <v>15</v>
      </c>
      <c r="F29" s="36"/>
      <c r="G29" s="24" t="s">
        <v>5</v>
      </c>
      <c r="H29" s="25"/>
      <c r="I29" s="26"/>
    </row>
    <row r="30" spans="1:9" ht="29.25" customHeight="1" x14ac:dyDescent="0.25">
      <c r="A30" s="1" t="s">
        <v>16</v>
      </c>
      <c r="B30" s="30">
        <f>(B25*9.81)*3.25/2</f>
        <v>0</v>
      </c>
      <c r="C30" s="31"/>
      <c r="D30" s="31"/>
      <c r="E30" s="31"/>
      <c r="F30" s="31"/>
      <c r="G30" s="31"/>
      <c r="H30" s="31"/>
      <c r="I30" s="32"/>
    </row>
    <row r="31" spans="1:9" ht="29.25" customHeight="1" x14ac:dyDescent="0.25">
      <c r="A31" s="1" t="s">
        <v>17</v>
      </c>
      <c r="B31" s="30" t="s">
        <v>18</v>
      </c>
      <c r="C31" s="31"/>
      <c r="D31" s="31"/>
      <c r="E31" s="31"/>
      <c r="F31" s="37"/>
      <c r="G31" s="27" t="str">
        <f>IF(OR(H12="",H13="",B30=""), "", _xlfn.LET(_xlpm.WireD, H12, _xlpm.OD, H13, _xlpm.Fmax, B30, _xlpm.MeanD, _xlpm.OD-_xlpm.WireD, _xlpm.Index, _xlpm.MeanD/_xlpm.WireD, _xlpm.Wahl, ((4*_xlpm.Index-1)/(4*_xlpm.Index-4))+(0.615/_xlpm.Index), (8*_xlpm.MeanD*_xlpm.Fmax*_xlpm.Wahl)/(PI()*POWER(_xlpm.WireD,3))))</f>
        <v/>
      </c>
      <c r="H31" s="28"/>
      <c r="I31" s="29"/>
    </row>
    <row r="32" spans="1:9" ht="29.25" customHeight="1" x14ac:dyDescent="0.25">
      <c r="A32" s="1" t="s">
        <v>19</v>
      </c>
      <c r="B32" s="2" t="s">
        <v>20</v>
      </c>
      <c r="C32" s="17" t="str">
        <f>IF(G31="","",IF(G31&lt;=1200,"X",""))</f>
        <v/>
      </c>
      <c r="D32" s="17"/>
      <c r="E32" s="30" t="str">
        <f>IF(G31="","",IF(G31&gt;1200,"X",""))</f>
        <v/>
      </c>
      <c r="F32" s="37"/>
      <c r="G32" s="30" t="str">
        <f>IF(G31="","",IF(G31&lt;=1200,"PASS","FAIL"))</f>
        <v/>
      </c>
      <c r="H32" s="31"/>
      <c r="I32" s="32"/>
    </row>
    <row r="33" spans="1:9" ht="29.25" customHeight="1" thickBot="1" x14ac:dyDescent="0.3">
      <c r="A33" s="6" t="s">
        <v>21</v>
      </c>
      <c r="B33" s="7" t="s">
        <v>22</v>
      </c>
      <c r="C33" s="19"/>
      <c r="D33" s="19"/>
      <c r="E33" s="33"/>
      <c r="F33" s="38"/>
      <c r="G33" s="33"/>
      <c r="H33" s="34"/>
      <c r="I33" s="35"/>
    </row>
    <row r="34" spans="1:9" ht="30" customHeight="1" thickBot="1" x14ac:dyDescent="0.3">
      <c r="A34" s="21"/>
      <c r="B34" s="22"/>
      <c r="C34" s="22"/>
      <c r="D34" s="22"/>
      <c r="E34" s="22"/>
      <c r="F34" s="22"/>
      <c r="G34" s="22"/>
      <c r="H34" s="22"/>
      <c r="I34" s="23"/>
    </row>
    <row r="35" spans="1:9" ht="30" customHeight="1" x14ac:dyDescent="0.25">
      <c r="A35" s="9" t="s">
        <v>38</v>
      </c>
      <c r="B35" s="13" t="s">
        <v>57</v>
      </c>
      <c r="C35" s="13"/>
      <c r="D35" s="13" t="s">
        <v>39</v>
      </c>
      <c r="E35" s="13"/>
      <c r="F35" s="13" t="s">
        <v>40</v>
      </c>
      <c r="G35" s="13"/>
      <c r="H35" s="13"/>
      <c r="I35" s="40"/>
    </row>
    <row r="36" spans="1:9" ht="30" customHeight="1" x14ac:dyDescent="0.25">
      <c r="A36" s="1" t="s">
        <v>41</v>
      </c>
      <c r="B36" s="17"/>
      <c r="C36" s="17"/>
      <c r="D36" s="17"/>
      <c r="E36" s="17"/>
      <c r="F36" s="17"/>
      <c r="G36" s="17"/>
      <c r="H36" s="17"/>
      <c r="I36" s="18"/>
    </row>
    <row r="37" spans="1:9" ht="30" customHeight="1" thickBot="1" x14ac:dyDescent="0.3">
      <c r="A37" s="6" t="s">
        <v>42</v>
      </c>
      <c r="B37" s="19"/>
      <c r="C37" s="19"/>
      <c r="D37" s="19"/>
      <c r="E37" s="19"/>
      <c r="F37" s="19"/>
      <c r="G37" s="19"/>
      <c r="H37" s="19"/>
      <c r="I37" s="20"/>
    </row>
  </sheetData>
  <mergeCells count="40">
    <mergeCell ref="A1:I1"/>
    <mergeCell ref="G2:I2"/>
    <mergeCell ref="A3:I3"/>
    <mergeCell ref="A4:I4"/>
    <mergeCell ref="A5:I5"/>
    <mergeCell ref="A10:I10"/>
    <mergeCell ref="A20:I20"/>
    <mergeCell ref="A21:I21"/>
    <mergeCell ref="A27:I27"/>
    <mergeCell ref="B2:C2"/>
    <mergeCell ref="E6:F6"/>
    <mergeCell ref="E7:F7"/>
    <mergeCell ref="E8:F8"/>
    <mergeCell ref="G6:I6"/>
    <mergeCell ref="G7:I7"/>
    <mergeCell ref="G8:I8"/>
    <mergeCell ref="B6:D6"/>
    <mergeCell ref="B7:D7"/>
    <mergeCell ref="B8:D8"/>
    <mergeCell ref="F35:I35"/>
    <mergeCell ref="B25:I25"/>
    <mergeCell ref="B30:I30"/>
    <mergeCell ref="B31:F31"/>
    <mergeCell ref="A28:I28"/>
    <mergeCell ref="D35:E35"/>
    <mergeCell ref="A9:I9"/>
    <mergeCell ref="B36:I36"/>
    <mergeCell ref="B37:I37"/>
    <mergeCell ref="A34:I34"/>
    <mergeCell ref="G29:I29"/>
    <mergeCell ref="G31:I31"/>
    <mergeCell ref="G32:I32"/>
    <mergeCell ref="G33:I33"/>
    <mergeCell ref="E29:F29"/>
    <mergeCell ref="E32:F32"/>
    <mergeCell ref="E33:F33"/>
    <mergeCell ref="C29:D29"/>
    <mergeCell ref="C32:D32"/>
    <mergeCell ref="C33:D33"/>
    <mergeCell ref="B35:C35"/>
  </mergeCells>
  <dataValidations count="1">
    <dataValidation type="list" allowBlank="1" showInputMessage="1" showErrorMessage="1" sqref="B14:B15 E14:G15" xr:uid="{B2753933-765A-4EF5-B14A-AE29624E05D8}">
      <formula1>"Pigtail, Tangential, Squared, Ground Flat"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FRM-VAL-006 - Coil Spring 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Tollefson</dc:creator>
  <cp:lastModifiedBy>Shawn Parnell</cp:lastModifiedBy>
  <dcterms:created xsi:type="dcterms:W3CDTF">2026-03-26T15:00:06Z</dcterms:created>
  <dcterms:modified xsi:type="dcterms:W3CDTF">2026-10-13T19:45:01Z</dcterms:modified>
</cp:coreProperties>
</file>