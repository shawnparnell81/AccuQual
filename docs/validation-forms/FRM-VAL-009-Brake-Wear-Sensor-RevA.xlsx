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arnell\Desktop\"/>
    </mc:Choice>
  </mc:AlternateContent>
  <xr:revisionPtr revIDLastSave="0" documentId="8_{7ED5FAA3-CD6D-4C1A-AF56-D78BE7B05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M-VAL-008 - Fuel Inj Valid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N9t97tC7a2jbgbGCR7q2o+Q57Iq6ua9drHX8qmoWvE="/>
    </ext>
  </extLst>
</workbook>
</file>

<file path=xl/calcChain.xml><?xml version="1.0" encoding="utf-8"?>
<calcChain xmlns="http://schemas.openxmlformats.org/spreadsheetml/2006/main">
  <c r="H24" i="1" l="1"/>
  <c r="H23" i="1"/>
  <c r="H22" i="1"/>
  <c r="F18" i="1"/>
  <c r="E18" i="1"/>
  <c r="H18" i="1" s="1"/>
  <c r="F17" i="1"/>
  <c r="E17" i="1"/>
  <c r="H17" i="1" s="1"/>
  <c r="H16" i="1"/>
  <c r="F15" i="1"/>
  <c r="E15" i="1"/>
  <c r="H15" i="1" s="1"/>
  <c r="H14" i="1"/>
  <c r="F14" i="1"/>
  <c r="E14" i="1"/>
  <c r="F13" i="1"/>
  <c r="E13" i="1"/>
  <c r="H13" i="1" s="1"/>
  <c r="F12" i="1"/>
  <c r="E12" i="1"/>
  <c r="H12" i="1" s="1"/>
  <c r="B27" i="1" l="1" a="1"/>
  <c r="B27" i="1" s="1"/>
  <c r="J2" i="1" a="1"/>
  <c r="J2" i="1" s="1"/>
</calcChain>
</file>

<file path=xl/sharedStrings.xml><?xml version="1.0" encoding="utf-8"?>
<sst xmlns="http://schemas.openxmlformats.org/spreadsheetml/2006/main" count="59" uniqueCount="49">
  <si>
    <t>BRAKE WEAR SENSOR VALIDATION DOCUMENT</t>
  </si>
  <si>
    <t>Sample Pass/Fail</t>
  </si>
  <si>
    <t>Doc ID: FRM-VAL-009</t>
  </si>
  <si>
    <t>Rev: A</t>
  </si>
  <si>
    <t>Effective Date:</t>
  </si>
  <si>
    <t>Approved By:</t>
  </si>
  <si>
    <t>Maxwell Tollefson</t>
  </si>
  <si>
    <t>Purpose: To validate incoming First Article or production Brake Wear Sensors against the approved DMA engineering drawing.</t>
  </si>
  <si>
    <t>1.0 PART &amp; INSPECTION INFORMATION</t>
  </si>
  <si>
    <t>Selling Part Number:</t>
  </si>
  <si>
    <t>Drawing Part Number:</t>
  </si>
  <si>
    <t>Supplier / Factory:</t>
  </si>
  <si>
    <t>Batch Number:</t>
  </si>
  <si>
    <t>Inspected By:</t>
  </si>
  <si>
    <t>Inspection Date:</t>
  </si>
  <si>
    <t>2.0 DIMENSIONAL PARAMETERS</t>
  </si>
  <si>
    <t>Parameter [mm]</t>
  </si>
  <si>
    <t>Nominal</t>
  </si>
  <si>
    <t>Tolerance</t>
  </si>
  <si>
    <t>Min</t>
  </si>
  <si>
    <t>Max</t>
  </si>
  <si>
    <t>Sample</t>
  </si>
  <si>
    <t>RESULT</t>
  </si>
  <si>
    <t>Extended Length</t>
  </si>
  <si>
    <t>Wear Head Length</t>
  </si>
  <si>
    <t>Wear Head Width</t>
  </si>
  <si>
    <t>Wear Head Height</t>
  </si>
  <si>
    <t>Electrical Sensor Length</t>
  </si>
  <si>
    <t>Electrical Sensor Width</t>
  </si>
  <si>
    <t>Electrical Sensor Height</t>
  </si>
  <si>
    <t>3.0 VISUAL AND FUNCTIONAL CHECKS</t>
  </si>
  <si>
    <t>Sample (Y/N)</t>
  </si>
  <si>
    <t>Pinout Matches Drawing</t>
  </si>
  <si>
    <t>Must Match Drawing (Y)</t>
  </si>
  <si>
    <t>Continuity</t>
  </si>
  <si>
    <t>Must Have (Y)</t>
  </si>
  <si>
    <t>Overall Visual Match</t>
  </si>
  <si>
    <t>4.0 Evaluation</t>
  </si>
  <si>
    <t>Pass/Fail</t>
  </si>
  <si>
    <t>FINAL DISPOSITION:</t>
  </si>
  <si>
    <t>APPROVED</t>
  </si>
  <si>
    <t>REJECTED</t>
  </si>
  <si>
    <t>APPROVED WITH DEVIATION</t>
  </si>
  <si>
    <t>Authorized By (Signature):</t>
  </si>
  <si>
    <t>Deviation/Rejection Notes:</t>
  </si>
  <si>
    <t>N/A</t>
  </si>
  <si>
    <t>5.0 Furthur Review</t>
  </si>
  <si>
    <t>***This section is only used if a sample fails intital inspection, but is passed later after follow up from the factory (test method improvements, drawing update/correction, etc)***</t>
  </si>
  <si>
    <t>Approval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</si>
</sst>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6">
    <font>
      <sz val="11"/>
      <color theme="1"/>
      <name val="Aptos Narrow"/>
      <scheme val="minor"/>
    </font>
    <font>
      <b/>
      <sz val="22"/>
      <color theme="1"/>
      <name val="Aptos Narrow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3" fillId="0" borderId="10" xfId="0" applyFont="1" applyBorder="1" applyAlignment="1">
      <alignment horizontal="center" vertical="center" wrapText="1"/>
    </xf>
    <xf numFmtId="0" fontId="2" fillId="0" borderId="12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13" xfId="0" applyFont="1" applyBorder="1"/>
    <xf numFmtId="0" fontId="3" fillId="0" borderId="15" xfId="0" applyFont="1" applyBorder="1" applyAlignment="1">
      <alignment horizontal="center" vertical="center" wrapText="1"/>
    </xf>
    <xf numFmtId="0" fontId="2" fillId="0" borderId="16" xfId="0" applyFont="1" applyBorder="1"/>
    <xf numFmtId="164" fontId="5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</cellXfs>
  <cellStyles count="1">
    <cellStyle name="Normal" xfId="0" builtinId="0"/>
  </cellStyles>
  <dxfs count="17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9" sqref="B29:H29"/>
    </sheetView>
  </sheetViews>
  <sheetFormatPr defaultColWidth="12.5703125" defaultRowHeight="15" customHeight="1"/>
  <cols>
    <col min="1" max="1" width="43.7109375" customWidth="1"/>
    <col min="2" max="4" width="20.140625" customWidth="1"/>
    <col min="5" max="7" width="13.140625" customWidth="1"/>
    <col min="8" max="8" width="12.28515625" customWidth="1"/>
    <col min="9" max="11" width="9.140625" customWidth="1"/>
    <col min="12" max="26" width="8.5703125" customWidth="1"/>
  </cols>
  <sheetData>
    <row r="1" spans="1:26" ht="30" customHeight="1">
      <c r="A1" s="15" t="s">
        <v>0</v>
      </c>
      <c r="B1" s="16"/>
      <c r="C1" s="16"/>
      <c r="D1" s="16"/>
      <c r="E1" s="16"/>
      <c r="F1" s="16"/>
      <c r="G1" s="16"/>
      <c r="H1" s="17"/>
      <c r="I1" s="1"/>
      <c r="J1" s="18" t="s">
        <v>1</v>
      </c>
      <c r="K1" s="1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s="2" t="s">
        <v>2</v>
      </c>
      <c r="B2" s="19" t="s">
        <v>3</v>
      </c>
      <c r="C2" s="20"/>
      <c r="D2" s="21"/>
      <c r="E2" s="3" t="s">
        <v>4</v>
      </c>
      <c r="F2" s="4">
        <v>46217</v>
      </c>
      <c r="G2" s="3" t="s">
        <v>5</v>
      </c>
      <c r="H2" s="5" t="s">
        <v>6</v>
      </c>
      <c r="I2" s="1"/>
      <c r="J2" s="22" t="str">
        <f t="array" ref="J2">IF(AND(H12:H18="Pass", H22:H24="Pass"),"Pass","Fail")</f>
        <v>Fail</v>
      </c>
      <c r="K2" s="2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24" t="s">
        <v>7</v>
      </c>
      <c r="B3" s="25"/>
      <c r="C3" s="25"/>
      <c r="D3" s="25"/>
      <c r="E3" s="25"/>
      <c r="F3" s="25"/>
      <c r="G3" s="25"/>
      <c r="H3" s="2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26" t="s">
        <v>8</v>
      </c>
      <c r="B5" s="16"/>
      <c r="C5" s="16"/>
      <c r="D5" s="16"/>
      <c r="E5" s="16"/>
      <c r="F5" s="16"/>
      <c r="G5" s="16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2" t="s">
        <v>9</v>
      </c>
      <c r="B6" s="27"/>
      <c r="C6" s="20"/>
      <c r="D6" s="21"/>
      <c r="E6" s="19" t="s">
        <v>10</v>
      </c>
      <c r="F6" s="21"/>
      <c r="G6" s="19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2" t="s">
        <v>11</v>
      </c>
      <c r="B7" s="27"/>
      <c r="C7" s="20"/>
      <c r="D7" s="21"/>
      <c r="E7" s="19" t="s">
        <v>12</v>
      </c>
      <c r="F7" s="21"/>
      <c r="G7" s="19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6" t="s">
        <v>13</v>
      </c>
      <c r="B8" s="32"/>
      <c r="C8" s="25"/>
      <c r="D8" s="30"/>
      <c r="E8" s="29" t="s">
        <v>14</v>
      </c>
      <c r="F8" s="30"/>
      <c r="G8" s="31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26" t="s">
        <v>15</v>
      </c>
      <c r="B10" s="16"/>
      <c r="C10" s="16"/>
      <c r="D10" s="16"/>
      <c r="E10" s="16"/>
      <c r="F10" s="16"/>
      <c r="G10" s="16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7" t="s">
        <v>16</v>
      </c>
      <c r="B11" s="33" t="s">
        <v>17</v>
      </c>
      <c r="C11" s="21"/>
      <c r="D11" s="8" t="s">
        <v>18</v>
      </c>
      <c r="E11" s="8" t="s">
        <v>19</v>
      </c>
      <c r="F11" s="8" t="s">
        <v>20</v>
      </c>
      <c r="G11" s="8" t="s">
        <v>21</v>
      </c>
      <c r="H11" s="9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2" t="s">
        <v>23</v>
      </c>
      <c r="B12" s="27">
        <v>570</v>
      </c>
      <c r="C12" s="21"/>
      <c r="D12" s="10">
        <v>15</v>
      </c>
      <c r="E12" s="3">
        <f t="shared" ref="E12:E15" si="0">B12-D12</f>
        <v>555</v>
      </c>
      <c r="F12" s="3">
        <f t="shared" ref="F12:F15" si="1">B12+D12</f>
        <v>585</v>
      </c>
      <c r="G12" s="10"/>
      <c r="H12" s="5" t="str">
        <f t="shared" ref="H12:H18" si="2">IF(OR(B12="NA"),"Pass",IF(AND(E12&lt;=G12,G12&lt;=F12),"Pass","Fail"))</f>
        <v>Fail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2" t="s">
        <v>24</v>
      </c>
      <c r="B13" s="27">
        <v>11</v>
      </c>
      <c r="C13" s="21"/>
      <c r="D13" s="10">
        <v>0.5</v>
      </c>
      <c r="E13" s="3">
        <f t="shared" si="0"/>
        <v>10.5</v>
      </c>
      <c r="F13" s="3">
        <f t="shared" si="1"/>
        <v>11.5</v>
      </c>
      <c r="G13" s="10"/>
      <c r="H13" s="5" t="str">
        <f t="shared" si="2"/>
        <v>Fail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2" t="s">
        <v>25</v>
      </c>
      <c r="B14" s="27">
        <v>11</v>
      </c>
      <c r="C14" s="21"/>
      <c r="D14" s="10">
        <v>0.5</v>
      </c>
      <c r="E14" s="3">
        <f t="shared" si="0"/>
        <v>10.5</v>
      </c>
      <c r="F14" s="3">
        <f t="shared" si="1"/>
        <v>11.5</v>
      </c>
      <c r="G14" s="10"/>
      <c r="H14" s="5" t="str">
        <f t="shared" si="2"/>
        <v>Fail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2" t="s">
        <v>26</v>
      </c>
      <c r="B15" s="27">
        <v>8.9</v>
      </c>
      <c r="C15" s="21"/>
      <c r="D15" s="10">
        <v>0.5</v>
      </c>
      <c r="E15" s="3">
        <f t="shared" si="0"/>
        <v>8.4</v>
      </c>
      <c r="F15" s="3">
        <f t="shared" si="1"/>
        <v>9.4</v>
      </c>
      <c r="G15" s="10"/>
      <c r="H15" s="5" t="str">
        <f t="shared" si="2"/>
        <v>Fail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2" t="s">
        <v>27</v>
      </c>
      <c r="B16" s="27">
        <v>0</v>
      </c>
      <c r="C16" s="21"/>
      <c r="D16" s="10">
        <v>0</v>
      </c>
      <c r="E16" s="10">
        <v>0</v>
      </c>
      <c r="F16" s="10">
        <v>0</v>
      </c>
      <c r="G16" s="10"/>
      <c r="H16" s="5" t="str">
        <f t="shared" si="2"/>
        <v>Pass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2" t="s">
        <v>28</v>
      </c>
      <c r="B17" s="27">
        <v>14</v>
      </c>
      <c r="C17" s="21"/>
      <c r="D17" s="10">
        <v>0.5</v>
      </c>
      <c r="E17" s="3">
        <f t="shared" ref="E17:E18" si="3">B17-D17</f>
        <v>13.5</v>
      </c>
      <c r="F17" s="3">
        <f t="shared" ref="F17:F18" si="4">B17+D17</f>
        <v>14.5</v>
      </c>
      <c r="G17" s="10"/>
      <c r="H17" s="5" t="str">
        <f t="shared" si="2"/>
        <v>Fail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2" t="s">
        <v>29</v>
      </c>
      <c r="B18" s="27">
        <v>9.8000000000000007</v>
      </c>
      <c r="C18" s="21"/>
      <c r="D18" s="10">
        <v>0.5</v>
      </c>
      <c r="E18" s="3">
        <f t="shared" si="3"/>
        <v>9.3000000000000007</v>
      </c>
      <c r="F18" s="3">
        <f t="shared" si="4"/>
        <v>10.3</v>
      </c>
      <c r="G18" s="10"/>
      <c r="H18" s="5" t="str">
        <f t="shared" si="2"/>
        <v>Fail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26" t="s">
        <v>30</v>
      </c>
      <c r="B20" s="16"/>
      <c r="C20" s="16"/>
      <c r="D20" s="16"/>
      <c r="E20" s="16"/>
      <c r="F20" s="16"/>
      <c r="G20" s="16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>
      <c r="A21" s="7" t="s">
        <v>16</v>
      </c>
      <c r="B21" s="33" t="s">
        <v>17</v>
      </c>
      <c r="C21" s="20"/>
      <c r="D21" s="20"/>
      <c r="E21" s="20"/>
      <c r="F21" s="21"/>
      <c r="G21" s="8" t="s">
        <v>31</v>
      </c>
      <c r="H21" s="9" t="s">
        <v>22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>
      <c r="A22" s="2" t="s">
        <v>32</v>
      </c>
      <c r="B22" s="19" t="s">
        <v>33</v>
      </c>
      <c r="C22" s="20"/>
      <c r="D22" s="20"/>
      <c r="E22" s="20"/>
      <c r="F22" s="21"/>
      <c r="G22" s="10"/>
      <c r="H22" s="5" t="str">
        <f t="shared" ref="H22:H24" si="5">IF(AND(G22="Y"), "Pass", "Fail")</f>
        <v>Fail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2" t="s">
        <v>34</v>
      </c>
      <c r="B23" s="19" t="s">
        <v>35</v>
      </c>
      <c r="C23" s="20"/>
      <c r="D23" s="20"/>
      <c r="E23" s="20"/>
      <c r="F23" s="21"/>
      <c r="G23" s="10"/>
      <c r="H23" s="5" t="str">
        <f t="shared" si="5"/>
        <v>Fail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11" t="s">
        <v>36</v>
      </c>
      <c r="B24" s="35" t="s">
        <v>33</v>
      </c>
      <c r="C24" s="36"/>
      <c r="D24" s="36"/>
      <c r="E24" s="36"/>
      <c r="F24" s="37"/>
      <c r="G24" s="12"/>
      <c r="H24" s="13" t="str">
        <f t="shared" si="5"/>
        <v>Fail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26" t="s">
        <v>37</v>
      </c>
      <c r="B26" s="16"/>
      <c r="C26" s="16"/>
      <c r="D26" s="16"/>
      <c r="E26" s="16"/>
      <c r="F26" s="16"/>
      <c r="G26" s="16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7" t="s">
        <v>38</v>
      </c>
      <c r="B27" s="19" t="str">
        <f t="array" ref="B27">IF(AND(H12:H18="Pass", H22:H24="Pass"),"Pass","Fail")</f>
        <v>Fail</v>
      </c>
      <c r="C27" s="20"/>
      <c r="D27" s="20"/>
      <c r="E27" s="20"/>
      <c r="F27" s="20"/>
      <c r="G27" s="20"/>
      <c r="H27" s="2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7" t="s">
        <v>39</v>
      </c>
      <c r="B28" s="8" t="s">
        <v>40</v>
      </c>
      <c r="C28" s="8" t="b">
        <v>0</v>
      </c>
      <c r="D28" s="8" t="s">
        <v>41</v>
      </c>
      <c r="E28" s="8" t="b">
        <v>0</v>
      </c>
      <c r="F28" s="33" t="s">
        <v>42</v>
      </c>
      <c r="G28" s="21"/>
      <c r="H28" s="9" t="b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>
      <c r="A29" s="7" t="s">
        <v>43</v>
      </c>
      <c r="B29" s="27"/>
      <c r="C29" s="20"/>
      <c r="D29" s="20"/>
      <c r="E29" s="20"/>
      <c r="F29" s="20"/>
      <c r="G29" s="20"/>
      <c r="H29" s="2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14" t="s">
        <v>44</v>
      </c>
      <c r="B30" s="32" t="s">
        <v>45</v>
      </c>
      <c r="C30" s="25"/>
      <c r="D30" s="25"/>
      <c r="E30" s="25"/>
      <c r="F30" s="25"/>
      <c r="G30" s="25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>
      <c r="A32" s="26" t="s">
        <v>46</v>
      </c>
      <c r="B32" s="16"/>
      <c r="C32" s="16"/>
      <c r="D32" s="16"/>
      <c r="E32" s="16"/>
      <c r="F32" s="16"/>
      <c r="G32" s="16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>
      <c r="A33" s="34" t="s">
        <v>47</v>
      </c>
      <c r="B33" s="20"/>
      <c r="C33" s="20"/>
      <c r="D33" s="20"/>
      <c r="E33" s="20"/>
      <c r="F33" s="20"/>
      <c r="G33" s="20"/>
      <c r="H33" s="2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>
      <c r="A34" s="7" t="s">
        <v>38</v>
      </c>
      <c r="B34" s="19"/>
      <c r="C34" s="20"/>
      <c r="D34" s="20"/>
      <c r="E34" s="20"/>
      <c r="F34" s="20"/>
      <c r="G34" s="20"/>
      <c r="H34" s="2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>
      <c r="A35" s="7" t="s">
        <v>39</v>
      </c>
      <c r="B35" s="8" t="s">
        <v>40</v>
      </c>
      <c r="C35" s="8" t="b">
        <v>0</v>
      </c>
      <c r="D35" s="8" t="s">
        <v>41</v>
      </c>
      <c r="E35" s="8" t="b">
        <v>0</v>
      </c>
      <c r="F35" s="33" t="s">
        <v>42</v>
      </c>
      <c r="G35" s="21"/>
      <c r="H35" s="9" t="b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>
      <c r="A36" s="7" t="s">
        <v>43</v>
      </c>
      <c r="B36" s="19"/>
      <c r="C36" s="20"/>
      <c r="D36" s="20"/>
      <c r="E36" s="20"/>
      <c r="F36" s="20"/>
      <c r="G36" s="20"/>
      <c r="H36" s="2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>
      <c r="A37" s="14" t="s">
        <v>48</v>
      </c>
      <c r="B37" s="29"/>
      <c r="C37" s="25"/>
      <c r="D37" s="25"/>
      <c r="E37" s="25"/>
      <c r="F37" s="25"/>
      <c r="G37" s="25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B37:H37"/>
    <mergeCell ref="B24:F24"/>
    <mergeCell ref="A26:H26"/>
    <mergeCell ref="B27:H27"/>
    <mergeCell ref="F28:G28"/>
    <mergeCell ref="B29:H29"/>
    <mergeCell ref="B30:H30"/>
    <mergeCell ref="A32:H32"/>
    <mergeCell ref="B23:F23"/>
    <mergeCell ref="A33:H33"/>
    <mergeCell ref="B34:H34"/>
    <mergeCell ref="F35:G35"/>
    <mergeCell ref="B36:H36"/>
    <mergeCell ref="B17:C17"/>
    <mergeCell ref="B18:C18"/>
    <mergeCell ref="A20:H20"/>
    <mergeCell ref="B21:F21"/>
    <mergeCell ref="B22:F22"/>
    <mergeCell ref="B12:C12"/>
    <mergeCell ref="B13:C13"/>
    <mergeCell ref="B14:C14"/>
    <mergeCell ref="B15:C15"/>
    <mergeCell ref="B16:C16"/>
    <mergeCell ref="E8:F8"/>
    <mergeCell ref="G8:H8"/>
    <mergeCell ref="B8:D8"/>
    <mergeCell ref="A10:H10"/>
    <mergeCell ref="B11:C11"/>
    <mergeCell ref="A5:H5"/>
    <mergeCell ref="B6:D6"/>
    <mergeCell ref="E6:F6"/>
    <mergeCell ref="G6:H6"/>
    <mergeCell ref="B7:D7"/>
    <mergeCell ref="E7:F7"/>
    <mergeCell ref="G7:H7"/>
    <mergeCell ref="A1:H1"/>
    <mergeCell ref="J1:K1"/>
    <mergeCell ref="B2:D2"/>
    <mergeCell ref="J2:K2"/>
    <mergeCell ref="A3:H3"/>
  </mergeCells>
  <conditionalFormatting sqref="B27 H28">
    <cfRule type="containsText" dxfId="16" priority="19" operator="containsText" text="Fail">
      <formula>NOT(ISERROR(SEARCH(("Fail"),(B27))))</formula>
    </cfRule>
  </conditionalFormatting>
  <conditionalFormatting sqref="B34 H35">
    <cfRule type="containsText" dxfId="15" priority="20" operator="containsText" text="Pass">
      <formula>NOT(ISERROR(SEARCH(("Pass"),(B34))))</formula>
    </cfRule>
    <cfRule type="containsText" dxfId="14" priority="21" operator="containsText" text="Fail">
      <formula>NOT(ISERROR(SEARCH(("Fail"),(B34))))</formula>
    </cfRule>
  </conditionalFormatting>
  <conditionalFormatting sqref="B6:D8 G6:H8">
    <cfRule type="containsBlanks" dxfId="13" priority="5">
      <formula>LEN(TRIM(B6))=0</formula>
    </cfRule>
  </conditionalFormatting>
  <conditionalFormatting sqref="B12:D18 G12:G18">
    <cfRule type="containsBlanks" dxfId="12" priority="8">
      <formula>LEN(TRIM(B12))=0</formula>
    </cfRule>
  </conditionalFormatting>
  <conditionalFormatting sqref="B29:H30">
    <cfRule type="containsBlanks" dxfId="11" priority="16">
      <formula>LEN(TRIM(B29))=0</formula>
    </cfRule>
  </conditionalFormatting>
  <conditionalFormatting sqref="C28 E28 H28">
    <cfRule type="containsBlanks" dxfId="10" priority="17">
      <formula>LEN(TRIM(C28))=0</formula>
    </cfRule>
  </conditionalFormatting>
  <conditionalFormatting sqref="G22:G24">
    <cfRule type="containsBlanks" dxfId="9" priority="13">
      <formula>LEN(TRIM(G22))=0</formula>
    </cfRule>
  </conditionalFormatting>
  <conditionalFormatting sqref="H1:H3">
    <cfRule type="containsText" dxfId="8" priority="3" operator="containsText" text="Pass">
      <formula>NOT(ISERROR(SEARCH(("Pass"),(H1))))</formula>
    </cfRule>
    <cfRule type="containsText" dxfId="7" priority="4" operator="containsText" text="Fail">
      <formula>NOT(ISERROR(SEARCH(("Fail"),(H1))))</formula>
    </cfRule>
  </conditionalFormatting>
  <conditionalFormatting sqref="H5:H8">
    <cfRule type="containsText" dxfId="6" priority="6" operator="containsText" text="Pass">
      <formula>NOT(ISERROR(SEARCH(("Pass"),(H5))))</formula>
    </cfRule>
    <cfRule type="containsText" dxfId="5" priority="7" operator="containsText" text="Fail">
      <formula>NOT(ISERROR(SEARCH(("Fail"),(H5))))</formula>
    </cfRule>
  </conditionalFormatting>
  <conditionalFormatting sqref="H9:H25 H31 H38:H1000">
    <cfRule type="containsText" dxfId="4" priority="1" operator="containsText" text="Pass">
      <formula>NOT(ISERROR(SEARCH(("Pass"),(H9))))</formula>
    </cfRule>
    <cfRule type="containsText" dxfId="3" priority="2" operator="containsText" text="Fail">
      <formula>NOT(ISERROR(SEARCH(("Fail"),(H9))))</formula>
    </cfRule>
  </conditionalFormatting>
  <conditionalFormatting sqref="H28 B27">
    <cfRule type="containsText" dxfId="2" priority="18" operator="containsText" text="Pass">
      <formula>NOT(ISERROR(SEARCH(("Pass"),(B27))))</formula>
    </cfRule>
  </conditionalFormatting>
  <conditionalFormatting sqref="J2">
    <cfRule type="containsText" dxfId="1" priority="22" operator="containsText" text="Fail">
      <formula>NOT(ISERROR(SEARCH(("Fail"),(J2))))</formula>
    </cfRule>
    <cfRule type="containsText" dxfId="0" priority="23" operator="containsText" text="Pass">
      <formula>NOT(ISERROR(SEARCH(("Pass"),(J2))))</formula>
    </cfRule>
  </conditionalFormatting>
  <dataValidations count="2">
    <dataValidation type="list" allowBlank="1" showErrorMessage="1" sqref="G22:G24" xr:uid="{00000000-0002-0000-0000-000000000000}">
      <formula1>"Y,N"</formula1>
    </dataValidation>
    <dataValidation type="list" allowBlank="1" showErrorMessage="1" sqref="B8 B29" xr:uid="{00000000-0002-0000-0000-000001000000}">
      <formula1>"Jordon Howard,Timothy Therrien,Sam Giannetti,Maxwell Tollefson,Lee Beeson,Glen Fulmore"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FRM-VAL-008 - Fuel Inj Validati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Jordon Howard</dc:creator>
  <cp:lastModifiedBy>Shawn Parnell</cp:lastModifiedBy>
  <dcterms:created xsi:type="dcterms:W3CDTF">2026-05-14T17:25:32Z</dcterms:created>
  <dcterms:modified xsi:type="dcterms:W3CDTF">2026-10-13T19:37:48Z</dcterms:modified>
</cp:coreProperties>
</file>