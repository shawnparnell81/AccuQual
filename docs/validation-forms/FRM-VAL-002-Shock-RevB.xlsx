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SO Compliance Documents\06_Test_Data_Projects\Validation Documents\Shock Validation\"/>
    </mc:Choice>
  </mc:AlternateContent>
  <xr:revisionPtr revIDLastSave="0" documentId="13_ncr:1_{8EDF29AD-BD73-4A37-A751-9639E4AD5B58}" xr6:coauthVersionLast="47" xr6:coauthVersionMax="47" xr10:uidLastSave="{00000000-0000-0000-0000-000000000000}"/>
  <bookViews>
    <workbookView xWindow="-108" yWindow="-108" windowWidth="23256" windowHeight="12576" xr2:uid="{EA0F6925-7D2E-47FA-9F64-36D96D837E05}"/>
  </bookViews>
  <sheets>
    <sheet name="Tes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G37" i="1"/>
  <c r="G36" i="1"/>
  <c r="G35" i="1"/>
  <c r="H35" i="1"/>
  <c r="H37" i="1"/>
  <c r="H36" i="1"/>
  <c r="G11" i="1"/>
  <c r="H38" i="1"/>
  <c r="G38" i="1"/>
  <c r="G29" i="1"/>
  <c r="G24" i="1"/>
  <c r="G18" i="1"/>
  <c r="H18" i="1"/>
  <c r="G17" i="1"/>
  <c r="H17" i="1"/>
  <c r="G15" i="1"/>
  <c r="H15" i="1"/>
  <c r="H11" i="1"/>
  <c r="H16" i="1" l="1"/>
  <c r="G16" i="1"/>
  <c r="A3" i="1" l="1"/>
</calcChain>
</file>

<file path=xl/sharedStrings.xml><?xml version="1.0" encoding="utf-8"?>
<sst xmlns="http://schemas.openxmlformats.org/spreadsheetml/2006/main" count="117" uniqueCount="63">
  <si>
    <t>Effective Date: 02/13/2026</t>
  </si>
  <si>
    <t>PROJECT INFORMATION</t>
  </si>
  <si>
    <t>Part Number:</t>
  </si>
  <si>
    <t>Tested By:</t>
  </si>
  <si>
    <t>Date:</t>
  </si>
  <si>
    <t>Batch ID:</t>
  </si>
  <si>
    <t>Approved By:</t>
  </si>
  <si>
    <t>1.0 CATALOGING &amp; VISUAL</t>
  </si>
  <si>
    <t>Criteria</t>
  </si>
  <si>
    <t>Standard</t>
  </si>
  <si>
    <t>Sample 1</t>
  </si>
  <si>
    <t>Sample 2</t>
  </si>
  <si>
    <t>Notes/Diffs</t>
  </si>
  <si>
    <t>Visual Inspection</t>
  </si>
  <si>
    <t>Markings/Spec</t>
  </si>
  <si>
    <t>2.0 STRUT PHYSICALS</t>
  </si>
  <si>
    <t>Method</t>
  </si>
  <si>
    <t>Pass/Fail</t>
  </si>
  <si>
    <t>TST-DIM-001</t>
  </si>
  <si>
    <t>ASTM D7091-22</t>
  </si>
  <si>
    <t>3.0 DAMPER PERFORMANCE</t>
  </si>
  <si>
    <t>JASO C602:2001 8.1</t>
  </si>
  <si>
    <t>Rebound Force @ 0.3m/s (N)</t>
  </si>
  <si>
    <t>Compression Force @ 0.3m/s (N)</t>
  </si>
  <si>
    <t>Calculated</t>
  </si>
  <si>
    <t>Strut Paint Thickness (µm)</t>
  </si>
  <si>
    <t>Maxwell Tollefson</t>
  </si>
  <si>
    <t>OVERALL DISPOSITION SAMPLE 1:</t>
  </si>
  <si>
    <t>Notes:</t>
  </si>
  <si>
    <t>OVERALL DISPOSITION SAMPLE 2:</t>
  </si>
  <si>
    <t>Compression Force @ 1.0m/s (N)</t>
  </si>
  <si>
    <t>Compression Force @ 0.6m/s (N)</t>
  </si>
  <si>
    <t>Compression Force @ 0.1m/s (N)</t>
  </si>
  <si>
    <t>Compression Force @ 0.05m/s (N)</t>
  </si>
  <si>
    <t>Rebound Force @ 0.05m/s (N)</t>
  </si>
  <si>
    <t>Rebound Force @ 0.1m/s (N)</t>
  </si>
  <si>
    <t>Rebound Force @ 0.6m/s (N)</t>
  </si>
  <si>
    <t>Rebound Force @ 1.0m/s (N)</t>
  </si>
  <si>
    <t>4.0 MOUNTS &amp; BUMP STOPS</t>
  </si>
  <si>
    <t>5.0 FINAL CONCLUSION</t>
  </si>
  <si>
    <t>Doc ID: FRM-VAL-002</t>
  </si>
  <si>
    <t>Max Length (Extended)(mm)</t>
  </si>
  <si>
    <t>Min Length (Compressed)(mm)</t>
  </si>
  <si>
    <t>Stroke (mm)</t>
  </si>
  <si>
    <t>Fastener Hardware Style (Metric)</t>
  </si>
  <si>
    <t>Fastener Hardware Grade (Metric)</t>
  </si>
  <si>
    <t>Top Mount Characteristics (mm)</t>
  </si>
  <si>
    <t>Bottom Mount Characteristics (mm)</t>
  </si>
  <si>
    <t>Tolerance</t>
  </si>
  <si>
    <t>Spec.</t>
  </si>
  <si>
    <t>≤</t>
  </si>
  <si>
    <t>Pass</t>
  </si>
  <si>
    <t>Fail</t>
  </si>
  <si>
    <t>Conditional Pass</t>
  </si>
  <si>
    <t>OVERALL DISPOSITION:</t>
  </si>
  <si>
    <t>Engineer who Approved Conditional Pass:</t>
  </si>
  <si>
    <t xml:space="preserve">SHOCK VALIDATION REPORT </t>
  </si>
  <si>
    <t>Rev: B</t>
  </si>
  <si>
    <t>Supplier:</t>
  </si>
  <si>
    <t>Drawing Number:</t>
  </si>
  <si>
    <t>Timothy Therrien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</si>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</sst>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3" borderId="0" xfId="0" applyFill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4" xfId="0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14" fontId="0" fillId="0" borderId="17" xfId="0" applyNumberForma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EDF0-9112-42A8-947A-26558328BFC5}">
  <dimension ref="A1:I46"/>
  <sheetViews>
    <sheetView tabSelected="1" workbookViewId="0">
      <selection activeCell="B6" sqref="B6"/>
    </sheetView>
  </sheetViews>
  <sheetFormatPr defaultColWidth="9.109375" defaultRowHeight="14.4" x14ac:dyDescent="0.3"/>
  <cols>
    <col min="1" max="1" width="34.44140625" style="1" customWidth="1"/>
    <col min="2" max="2" width="22.109375" style="1" bestFit="1" customWidth="1"/>
    <col min="3" max="3" width="18.6640625" style="1" customWidth="1"/>
    <col min="4" max="8" width="23.6640625" style="1" customWidth="1"/>
    <col min="9" max="9" width="39.5546875" style="1" customWidth="1"/>
    <col min="10" max="16384" width="9.109375" style="1"/>
  </cols>
  <sheetData>
    <row r="1" spans="1:9" ht="28.8" x14ac:dyDescent="0.3">
      <c r="A1" s="33" t="s">
        <v>56</v>
      </c>
      <c r="B1" s="34"/>
      <c r="C1" s="34"/>
      <c r="D1" s="34"/>
      <c r="E1" s="34"/>
      <c r="F1" s="34"/>
      <c r="G1" s="34"/>
      <c r="H1" s="34"/>
      <c r="I1" s="35"/>
    </row>
    <row r="2" spans="1:9" ht="15" thickBot="1" x14ac:dyDescent="0.35">
      <c r="A2" s="2" t="s">
        <v>40</v>
      </c>
      <c r="B2" s="36" t="s">
        <v>57</v>
      </c>
      <c r="C2" s="36"/>
      <c r="D2" s="36"/>
      <c r="E2" s="36" t="s">
        <v>0</v>
      </c>
      <c r="F2" s="36"/>
      <c r="G2" s="3" t="s">
        <v>6</v>
      </c>
      <c r="H2" s="36" t="s">
        <v>26</v>
      </c>
      <c r="I2" s="37"/>
    </row>
    <row r="3" spans="1:9" x14ac:dyDescent="0.3">
      <c r="A3" s="23" t="str">
        <f>IF(COUNTIF(G:H, "Failed") &gt; 0, "Failed", "Passed")</f>
        <v>Failed</v>
      </c>
      <c r="B3" s="21" t="s">
        <v>1</v>
      </c>
      <c r="C3" s="21"/>
      <c r="D3" s="21"/>
      <c r="E3" s="21"/>
      <c r="F3" s="21"/>
      <c r="G3" s="21"/>
      <c r="H3" s="21"/>
      <c r="I3" s="21"/>
    </row>
    <row r="4" spans="1:9" ht="15" thickBot="1" x14ac:dyDescent="0.35">
      <c r="A4" s="24"/>
      <c r="B4" s="22"/>
      <c r="C4" s="22"/>
      <c r="D4" s="22"/>
      <c r="E4" s="22"/>
      <c r="F4" s="22"/>
      <c r="G4" s="22"/>
      <c r="H4" s="22"/>
      <c r="I4" s="22"/>
    </row>
    <row r="5" spans="1:9" x14ac:dyDescent="0.3">
      <c r="A5" s="13" t="s">
        <v>2</v>
      </c>
      <c r="B5" s="4" t="s">
        <v>62</v>
      </c>
      <c r="C5" s="4" t="s">
        <v>59</v>
      </c>
      <c r="D5" s="4" t="s">
        <v>62</v>
      </c>
      <c r="E5" s="4" t="s">
        <v>3</v>
      </c>
      <c r="F5" s="4" t="s">
        <v>60</v>
      </c>
      <c r="G5" s="4" t="s">
        <v>4</v>
      </c>
      <c r="H5" s="52" t="s">
        <v>62</v>
      </c>
      <c r="I5" s="53"/>
    </row>
    <row r="6" spans="1:9" ht="15" thickBot="1" x14ac:dyDescent="0.35">
      <c r="A6" s="2" t="s">
        <v>58</v>
      </c>
      <c r="B6" s="3" t="s">
        <v>62</v>
      </c>
      <c r="C6" s="3" t="s">
        <v>5</v>
      </c>
      <c r="D6" s="3" t="s">
        <v>62</v>
      </c>
      <c r="E6" s="3" t="s">
        <v>6</v>
      </c>
      <c r="F6" s="49" t="s">
        <v>61</v>
      </c>
      <c r="G6" s="50"/>
      <c r="H6" s="50"/>
      <c r="I6" s="51"/>
    </row>
    <row r="7" spans="1:9" ht="15" thickBot="1" x14ac:dyDescent="0.35">
      <c r="A7" s="43"/>
      <c r="B7" s="44"/>
      <c r="C7" s="44"/>
      <c r="D7" s="44"/>
      <c r="E7" s="44"/>
      <c r="F7" s="44"/>
      <c r="G7" s="44"/>
      <c r="H7" s="44"/>
      <c r="I7" s="45"/>
    </row>
    <row r="8" spans="1:9" x14ac:dyDescent="0.3">
      <c r="A8" s="46" t="s">
        <v>7</v>
      </c>
      <c r="B8" s="47"/>
      <c r="C8" s="47"/>
      <c r="D8" s="47"/>
      <c r="E8" s="47"/>
      <c r="F8" s="47"/>
      <c r="G8" s="47"/>
      <c r="H8" s="47"/>
      <c r="I8" s="48"/>
    </row>
    <row r="9" spans="1:9" x14ac:dyDescent="0.3">
      <c r="A9" s="5" t="s">
        <v>8</v>
      </c>
      <c r="B9" s="4" t="s">
        <v>9</v>
      </c>
      <c r="C9" s="6" t="s">
        <v>49</v>
      </c>
      <c r="D9" s="6" t="s">
        <v>48</v>
      </c>
      <c r="E9" s="6" t="s">
        <v>10</v>
      </c>
      <c r="F9" s="6" t="s">
        <v>11</v>
      </c>
      <c r="G9" s="7" t="s">
        <v>17</v>
      </c>
      <c r="H9" s="7" t="s">
        <v>17</v>
      </c>
      <c r="I9" s="7" t="s">
        <v>12</v>
      </c>
    </row>
    <row r="10" spans="1:9" x14ac:dyDescent="0.3">
      <c r="A10" s="5" t="s">
        <v>44</v>
      </c>
      <c r="B10" s="4" t="s">
        <v>13</v>
      </c>
      <c r="C10" s="6"/>
      <c r="D10" s="9"/>
      <c r="E10" s="6"/>
      <c r="F10" s="6"/>
      <c r="G10" s="9"/>
      <c r="H10" s="9"/>
      <c r="I10" s="7"/>
    </row>
    <row r="11" spans="1:9" ht="15" thickBot="1" x14ac:dyDescent="0.35">
      <c r="A11" s="2" t="s">
        <v>45</v>
      </c>
      <c r="B11" s="3" t="s">
        <v>14</v>
      </c>
      <c r="C11" s="19">
        <v>10</v>
      </c>
      <c r="D11" s="8"/>
      <c r="E11" s="19"/>
      <c r="F11" s="19"/>
      <c r="G11" s="6" t="str">
        <f>IF(AND(E11&gt;=C11-D11, E11&lt;=C11+D11), "Passed", "Failed")</f>
        <v>Failed</v>
      </c>
      <c r="H11" s="6" t="str">
        <f>IF(F11=10, "Passed", "Failed")</f>
        <v>Failed</v>
      </c>
      <c r="I11" s="20"/>
    </row>
    <row r="12" spans="1:9" ht="15" thickBot="1" x14ac:dyDescent="0.35">
      <c r="A12" s="43"/>
      <c r="B12" s="44"/>
      <c r="C12" s="44"/>
      <c r="D12" s="44"/>
      <c r="E12" s="44"/>
      <c r="F12" s="44"/>
      <c r="G12" s="44"/>
      <c r="H12" s="44"/>
      <c r="I12" s="45"/>
    </row>
    <row r="13" spans="1:9" x14ac:dyDescent="0.3">
      <c r="A13" s="46" t="s">
        <v>15</v>
      </c>
      <c r="B13" s="47"/>
      <c r="C13" s="47"/>
      <c r="D13" s="47"/>
      <c r="E13" s="47"/>
      <c r="F13" s="47"/>
      <c r="G13" s="47"/>
      <c r="H13" s="47"/>
      <c r="I13" s="48"/>
    </row>
    <row r="14" spans="1:9" x14ac:dyDescent="0.3">
      <c r="A14" s="5" t="s">
        <v>8</v>
      </c>
      <c r="B14" s="4" t="s">
        <v>16</v>
      </c>
      <c r="C14" s="6" t="s">
        <v>49</v>
      </c>
      <c r="D14" s="6" t="s">
        <v>48</v>
      </c>
      <c r="E14" s="6" t="s">
        <v>10</v>
      </c>
      <c r="F14" s="6" t="s">
        <v>11</v>
      </c>
      <c r="G14" s="7" t="s">
        <v>17</v>
      </c>
      <c r="H14" s="7" t="s">
        <v>17</v>
      </c>
      <c r="I14" s="7" t="s">
        <v>12</v>
      </c>
    </row>
    <row r="15" spans="1:9" x14ac:dyDescent="0.3">
      <c r="A15" s="5" t="s">
        <v>41</v>
      </c>
      <c r="B15" s="4" t="s">
        <v>18</v>
      </c>
      <c r="C15" s="6"/>
      <c r="D15" s="6">
        <v>7</v>
      </c>
      <c r="E15" s="6"/>
      <c r="F15" s="6"/>
      <c r="G15" s="6" t="str">
        <f>IF(AND(E15&gt;=C15-D15, E15&lt;=C15+D15), "Passed", "Failed")</f>
        <v>Passed</v>
      </c>
      <c r="H15" s="6" t="str">
        <f>IF(AND(F15&gt;=C15-D15, F15&lt;=C15+D15), "Passed", "Failed")</f>
        <v>Passed</v>
      </c>
      <c r="I15" s="7"/>
    </row>
    <row r="16" spans="1:9" x14ac:dyDescent="0.3">
      <c r="A16" s="5" t="s">
        <v>42</v>
      </c>
      <c r="B16" s="4" t="s">
        <v>24</v>
      </c>
      <c r="C16" s="6">
        <f>C15-C17</f>
        <v>0</v>
      </c>
      <c r="D16" s="6">
        <v>7</v>
      </c>
      <c r="E16" s="6"/>
      <c r="F16" s="6"/>
      <c r="G16" s="6" t="str">
        <f t="shared" ref="G16:G17" si="0">IF(AND(E16&gt;=C16-D16, E16&lt;=C16+D16), "Passed", "Failed")</f>
        <v>Passed</v>
      </c>
      <c r="H16" s="6" t="str">
        <f t="shared" ref="H16:H17" si="1">IF(AND(F16&gt;=C16-D16, F16&lt;=C16+D16), "Passed", "Failed")</f>
        <v>Passed</v>
      </c>
      <c r="I16" s="7"/>
    </row>
    <row r="17" spans="1:9" x14ac:dyDescent="0.3">
      <c r="A17" s="5" t="s">
        <v>43</v>
      </c>
      <c r="B17" s="4" t="s">
        <v>18</v>
      </c>
      <c r="C17" s="6"/>
      <c r="D17" s="6">
        <v>5</v>
      </c>
      <c r="E17" s="6"/>
      <c r="F17" s="6"/>
      <c r="G17" s="6" t="str">
        <f t="shared" si="0"/>
        <v>Passed</v>
      </c>
      <c r="H17" s="6" t="str">
        <f t="shared" si="1"/>
        <v>Passed</v>
      </c>
      <c r="I17" s="7"/>
    </row>
    <row r="18" spans="1:9" x14ac:dyDescent="0.3">
      <c r="A18" s="5" t="s">
        <v>25</v>
      </c>
      <c r="B18" s="4" t="s">
        <v>19</v>
      </c>
      <c r="C18" s="6">
        <v>25</v>
      </c>
      <c r="D18" s="6" t="s">
        <v>50</v>
      </c>
      <c r="E18" s="6"/>
      <c r="F18" s="6"/>
      <c r="G18" s="6" t="str">
        <f>IF(E18&gt;=C18, "Passed", "Failed")</f>
        <v>Failed</v>
      </c>
      <c r="H18" s="6" t="str">
        <f>IF(F18&gt;=C18, "Passed", "Failed")</f>
        <v>Failed</v>
      </c>
      <c r="I18" s="6"/>
    </row>
    <row r="19" spans="1:9" ht="15" thickBot="1" x14ac:dyDescent="0.35">
      <c r="A19" s="43"/>
      <c r="B19" s="44"/>
      <c r="C19" s="44"/>
      <c r="D19" s="44"/>
      <c r="E19" s="44"/>
      <c r="F19" s="44"/>
      <c r="G19" s="44"/>
      <c r="H19" s="44"/>
      <c r="I19" s="45"/>
    </row>
    <row r="20" spans="1:9" x14ac:dyDescent="0.3">
      <c r="A20" s="46" t="s">
        <v>20</v>
      </c>
      <c r="B20" s="47"/>
      <c r="C20" s="47"/>
      <c r="D20" s="47"/>
      <c r="E20" s="47"/>
      <c r="F20" s="47"/>
      <c r="G20" s="47"/>
      <c r="H20" s="47"/>
      <c r="I20" s="48"/>
    </row>
    <row r="21" spans="1:9" x14ac:dyDescent="0.3">
      <c r="A21" s="5" t="s">
        <v>8</v>
      </c>
      <c r="B21" s="4" t="s">
        <v>16</v>
      </c>
      <c r="C21" s="6" t="s">
        <v>49</v>
      </c>
      <c r="D21" s="6" t="s">
        <v>48</v>
      </c>
      <c r="E21" s="6" t="s">
        <v>10</v>
      </c>
      <c r="F21" s="6" t="s">
        <v>11</v>
      </c>
      <c r="G21" s="7" t="s">
        <v>17</v>
      </c>
      <c r="H21" s="7" t="s">
        <v>17</v>
      </c>
      <c r="I21" s="7" t="s">
        <v>12</v>
      </c>
    </row>
    <row r="22" spans="1:9" x14ac:dyDescent="0.3">
      <c r="A22" s="5" t="s">
        <v>30</v>
      </c>
      <c r="B22" s="4" t="s">
        <v>21</v>
      </c>
      <c r="C22" s="6"/>
      <c r="D22" s="9"/>
      <c r="E22" s="4"/>
      <c r="F22" s="6"/>
      <c r="G22" s="9"/>
      <c r="H22" s="9"/>
      <c r="I22" s="7"/>
    </row>
    <row r="23" spans="1:9" x14ac:dyDescent="0.3">
      <c r="A23" s="5" t="s">
        <v>31</v>
      </c>
      <c r="B23" s="4" t="s">
        <v>21</v>
      </c>
      <c r="C23" s="6"/>
      <c r="D23" s="9"/>
      <c r="E23" s="4"/>
      <c r="F23" s="6"/>
      <c r="G23" s="9"/>
      <c r="H23" s="9"/>
      <c r="I23" s="7"/>
    </row>
    <row r="24" spans="1:9" x14ac:dyDescent="0.3">
      <c r="A24" s="5" t="s">
        <v>23</v>
      </c>
      <c r="B24" s="4" t="s">
        <v>21</v>
      </c>
      <c r="C24" s="6"/>
      <c r="D24" s="6"/>
      <c r="E24" s="4"/>
      <c r="F24" s="6"/>
      <c r="G24" s="6" t="str">
        <f t="shared" ref="G24" si="2">IF(AND(E24&gt;=C24-D24, E24&lt;=C24+D24), "Passed", "Failed")</f>
        <v>Passed</v>
      </c>
      <c r="H24" s="6"/>
      <c r="I24" s="7"/>
    </row>
    <row r="25" spans="1:9" x14ac:dyDescent="0.3">
      <c r="A25" s="5" t="s">
        <v>32</v>
      </c>
      <c r="B25" s="4" t="s">
        <v>21</v>
      </c>
      <c r="C25" s="6"/>
      <c r="D25" s="12"/>
      <c r="E25" s="4"/>
      <c r="F25" s="6"/>
      <c r="G25" s="12"/>
      <c r="H25" s="12"/>
      <c r="I25" s="7"/>
    </row>
    <row r="26" spans="1:9" x14ac:dyDescent="0.3">
      <c r="A26" s="5" t="s">
        <v>33</v>
      </c>
      <c r="B26" s="4" t="s">
        <v>21</v>
      </c>
      <c r="C26" s="6"/>
      <c r="D26" s="9"/>
      <c r="E26" s="4"/>
      <c r="F26" s="6"/>
      <c r="G26" s="9"/>
      <c r="H26" s="9"/>
      <c r="I26" s="7"/>
    </row>
    <row r="27" spans="1:9" x14ac:dyDescent="0.3">
      <c r="A27" s="5" t="s">
        <v>34</v>
      </c>
      <c r="B27" s="4" t="s">
        <v>21</v>
      </c>
      <c r="C27" s="6"/>
      <c r="D27" s="9"/>
      <c r="E27" s="4"/>
      <c r="F27" s="6"/>
      <c r="G27" s="9"/>
      <c r="H27" s="9"/>
      <c r="I27" s="7"/>
    </row>
    <row r="28" spans="1:9" x14ac:dyDescent="0.3">
      <c r="A28" s="5" t="s">
        <v>35</v>
      </c>
      <c r="B28" s="4" t="s">
        <v>21</v>
      </c>
      <c r="C28" s="6"/>
      <c r="D28" s="9"/>
      <c r="E28" s="4"/>
      <c r="F28" s="6"/>
      <c r="G28" s="9"/>
      <c r="H28" s="9"/>
      <c r="I28" s="7"/>
    </row>
    <row r="29" spans="1:9" x14ac:dyDescent="0.3">
      <c r="A29" s="5" t="s">
        <v>22</v>
      </c>
      <c r="B29" s="4" t="s">
        <v>21</v>
      </c>
      <c r="C29" s="6"/>
      <c r="D29" s="6"/>
      <c r="E29" s="4"/>
      <c r="F29" s="6"/>
      <c r="G29" s="6" t="str">
        <f t="shared" ref="G29" si="3">IF(AND(E29&gt;=C29-D29, E29&lt;=C29+D29), "Passed", "Failed")</f>
        <v>Passed</v>
      </c>
      <c r="H29" s="6"/>
      <c r="I29" s="7"/>
    </row>
    <row r="30" spans="1:9" x14ac:dyDescent="0.3">
      <c r="A30" s="5" t="s">
        <v>36</v>
      </c>
      <c r="B30" s="4" t="s">
        <v>21</v>
      </c>
      <c r="C30" s="6"/>
      <c r="D30" s="9"/>
      <c r="E30" s="4"/>
      <c r="F30" s="6"/>
      <c r="G30" s="9"/>
      <c r="H30" s="9"/>
      <c r="I30" s="7"/>
    </row>
    <row r="31" spans="1:9" x14ac:dyDescent="0.3">
      <c r="A31" s="5" t="s">
        <v>37</v>
      </c>
      <c r="B31" s="4" t="s">
        <v>21</v>
      </c>
      <c r="C31" s="6"/>
      <c r="D31" s="9"/>
      <c r="E31" s="4"/>
      <c r="F31" s="6"/>
      <c r="G31" s="9"/>
      <c r="H31" s="9"/>
      <c r="I31" s="7"/>
    </row>
    <row r="32" spans="1:9" ht="15" thickBot="1" x14ac:dyDescent="0.35">
      <c r="A32" s="43"/>
      <c r="B32" s="44"/>
      <c r="C32" s="44"/>
      <c r="D32" s="44"/>
      <c r="E32" s="44"/>
      <c r="F32" s="44"/>
      <c r="G32" s="44"/>
      <c r="H32" s="44"/>
      <c r="I32" s="45"/>
    </row>
    <row r="33" spans="1:9" x14ac:dyDescent="0.3">
      <c r="A33" s="46" t="s">
        <v>38</v>
      </c>
      <c r="B33" s="47"/>
      <c r="C33" s="47"/>
      <c r="D33" s="47"/>
      <c r="E33" s="47"/>
      <c r="F33" s="47"/>
      <c r="G33" s="47"/>
      <c r="H33" s="47"/>
      <c r="I33" s="48"/>
    </row>
    <row r="34" spans="1:9" x14ac:dyDescent="0.3">
      <c r="A34" s="5" t="s">
        <v>8</v>
      </c>
      <c r="B34" s="4" t="s">
        <v>16</v>
      </c>
      <c r="C34" s="6" t="s">
        <v>49</v>
      </c>
      <c r="D34" s="6" t="s">
        <v>48</v>
      </c>
      <c r="E34" s="6" t="s">
        <v>10</v>
      </c>
      <c r="F34" s="6" t="s">
        <v>11</v>
      </c>
      <c r="G34" s="7" t="s">
        <v>17</v>
      </c>
      <c r="H34" s="7" t="s">
        <v>17</v>
      </c>
      <c r="I34" s="7" t="s">
        <v>12</v>
      </c>
    </row>
    <row r="35" spans="1:9" x14ac:dyDescent="0.3">
      <c r="A35" s="5" t="s">
        <v>46</v>
      </c>
      <c r="B35" s="4" t="s">
        <v>18</v>
      </c>
      <c r="C35" s="54"/>
      <c r="D35" s="6">
        <v>0.5</v>
      </c>
      <c r="E35" s="6"/>
      <c r="F35" s="6"/>
      <c r="G35" s="6" t="str">
        <f>IF(AND(E35&gt;=C35-D35, E35&lt;=C35+D35), "Passed", "Failed")</f>
        <v>Passed</v>
      </c>
      <c r="H35" s="6" t="str">
        <f>IF(AND(F35&gt;=D36-E35, F35&lt;=D36+E35), "Passed", "Failed")</f>
        <v>Failed</v>
      </c>
      <c r="I35" s="7"/>
    </row>
    <row r="36" spans="1:9" x14ac:dyDescent="0.3">
      <c r="A36" s="5" t="s">
        <v>46</v>
      </c>
      <c r="B36" s="4" t="s">
        <v>18</v>
      </c>
      <c r="C36" s="6"/>
      <c r="D36" s="6">
        <v>0.5</v>
      </c>
      <c r="E36" s="6"/>
      <c r="F36" s="6"/>
      <c r="G36" s="6" t="str">
        <f>IF(AND(E36&gt;=C36-D36, E36&lt;=C36+D36), "Passed", "Failed")</f>
        <v>Passed</v>
      </c>
      <c r="H36" s="6" t="str">
        <f>IF(AND(F36&gt;=D37-E36, F36&lt;=D37+E36), "Passed", "Failed")</f>
        <v>Failed</v>
      </c>
      <c r="I36" s="7"/>
    </row>
    <row r="37" spans="1:9" x14ac:dyDescent="0.3">
      <c r="A37" s="5" t="s">
        <v>47</v>
      </c>
      <c r="B37" s="4" t="s">
        <v>18</v>
      </c>
      <c r="C37" s="6"/>
      <c r="D37" s="6">
        <v>0.5</v>
      </c>
      <c r="E37" s="6"/>
      <c r="F37" s="6"/>
      <c r="G37" s="6" t="str">
        <f>IF(AND(E37&gt;=C37-D37, F37&lt;=C37+D37), "Passed", "Failed")</f>
        <v>Passed</v>
      </c>
      <c r="H37" s="6" t="str">
        <f>IF(AND(F37&gt;=D38-E37, F37&lt;=D38+E37), "Passed", "Failed")</f>
        <v>Failed</v>
      </c>
      <c r="I37" s="7"/>
    </row>
    <row r="38" spans="1:9" x14ac:dyDescent="0.3">
      <c r="A38" s="5" t="s">
        <v>47</v>
      </c>
      <c r="B38" s="4" t="s">
        <v>18</v>
      </c>
      <c r="C38" s="6"/>
      <c r="D38" s="6">
        <v>0.5</v>
      </c>
      <c r="E38" s="6"/>
      <c r="F38" s="6"/>
      <c r="G38" s="6" t="str">
        <f t="shared" ref="G38" si="4">IF(AND(E38&gt;=C38-D38, E38&lt;=C38+D38), "Passed", "Failed")</f>
        <v>Passed</v>
      </c>
      <c r="H38" s="6" t="str">
        <f t="shared" ref="H38" si="5">IF(AND(F38&gt;=C38-D38, F38&lt;=C38+D38), "Passed", "Failed")</f>
        <v>Passed</v>
      </c>
      <c r="I38" s="7"/>
    </row>
    <row r="39" spans="1:9" ht="15" thickBot="1" x14ac:dyDescent="0.35">
      <c r="A39" s="43"/>
      <c r="B39" s="44"/>
      <c r="C39" s="44"/>
      <c r="D39" s="44"/>
      <c r="E39" s="44"/>
      <c r="F39" s="44"/>
      <c r="G39" s="44"/>
      <c r="H39" s="44"/>
      <c r="I39" s="45"/>
    </row>
    <row r="40" spans="1:9" x14ac:dyDescent="0.3">
      <c r="A40" s="46" t="s">
        <v>39</v>
      </c>
      <c r="B40" s="47"/>
      <c r="C40" s="47"/>
      <c r="D40" s="47"/>
      <c r="E40" s="47"/>
      <c r="F40" s="47"/>
      <c r="G40" s="47"/>
      <c r="H40" s="47"/>
      <c r="I40" s="48"/>
    </row>
    <row r="41" spans="1:9" x14ac:dyDescent="0.3">
      <c r="A41" s="16" t="s">
        <v>27</v>
      </c>
      <c r="B41" s="11" t="b">
        <v>0</v>
      </c>
      <c r="C41" s="14" t="s">
        <v>51</v>
      </c>
      <c r="D41" s="11" t="b">
        <v>0</v>
      </c>
      <c r="E41" s="14" t="s">
        <v>52</v>
      </c>
      <c r="F41" s="11" t="b">
        <v>0</v>
      </c>
      <c r="G41" s="15" t="s">
        <v>53</v>
      </c>
      <c r="H41" s="41"/>
      <c r="I41" s="42"/>
    </row>
    <row r="42" spans="1:9" x14ac:dyDescent="0.3">
      <c r="A42" s="16" t="s">
        <v>29</v>
      </c>
      <c r="B42" s="11" t="b">
        <v>0</v>
      </c>
      <c r="C42" s="14" t="s">
        <v>51</v>
      </c>
      <c r="D42" s="11" t="b">
        <v>0</v>
      </c>
      <c r="E42" s="14" t="s">
        <v>52</v>
      </c>
      <c r="F42" s="11" t="b">
        <v>0</v>
      </c>
      <c r="G42" s="15" t="s">
        <v>53</v>
      </c>
      <c r="H42" s="41"/>
      <c r="I42" s="42"/>
    </row>
    <row r="43" spans="1:9" ht="15" thickBot="1" x14ac:dyDescent="0.35">
      <c r="A43" s="17" t="s">
        <v>54</v>
      </c>
      <c r="B43" s="10" t="b">
        <v>0</v>
      </c>
      <c r="C43" s="18" t="s">
        <v>51</v>
      </c>
      <c r="D43" s="10" t="b">
        <v>0</v>
      </c>
      <c r="E43" s="18" t="s">
        <v>52</v>
      </c>
      <c r="F43" s="10" t="b">
        <v>0</v>
      </c>
      <c r="G43" s="15" t="s">
        <v>53</v>
      </c>
      <c r="H43" s="41"/>
      <c r="I43" s="42"/>
    </row>
    <row r="44" spans="1:9" x14ac:dyDescent="0.3">
      <c r="A44" s="25" t="s">
        <v>28</v>
      </c>
      <c r="B44" s="31"/>
      <c r="C44" s="31"/>
      <c r="D44" s="31"/>
      <c r="E44" s="31"/>
      <c r="F44" s="29" t="s">
        <v>55</v>
      </c>
      <c r="G44" s="27"/>
      <c r="H44" s="41"/>
      <c r="I44" s="42"/>
    </row>
    <row r="45" spans="1:9" ht="15" thickBot="1" x14ac:dyDescent="0.35">
      <c r="A45" s="26"/>
      <c r="B45" s="32"/>
      <c r="C45" s="32"/>
      <c r="D45" s="32"/>
      <c r="E45" s="32"/>
      <c r="F45" s="30"/>
      <c r="G45" s="28"/>
      <c r="H45" s="41"/>
      <c r="I45" s="42"/>
    </row>
    <row r="46" spans="1:9" ht="27.75" customHeight="1" thickBot="1" x14ac:dyDescent="0.35">
      <c r="A46" s="2"/>
      <c r="B46" s="38"/>
      <c r="C46" s="39"/>
      <c r="D46" s="39"/>
      <c r="E46" s="39"/>
      <c r="F46" s="39"/>
      <c r="G46" s="39"/>
      <c r="H46" s="39"/>
      <c r="I46" s="40"/>
    </row>
  </sheetData>
  <mergeCells count="28">
    <mergeCell ref="A1:I1"/>
    <mergeCell ref="B2:D2"/>
    <mergeCell ref="E2:F2"/>
    <mergeCell ref="H2:I2"/>
    <mergeCell ref="B46:I46"/>
    <mergeCell ref="H5:I5"/>
    <mergeCell ref="A7:I7"/>
    <mergeCell ref="A12:I12"/>
    <mergeCell ref="A19:I19"/>
    <mergeCell ref="A32:I32"/>
    <mergeCell ref="A39:I39"/>
    <mergeCell ref="H41:I41"/>
    <mergeCell ref="A8:I8"/>
    <mergeCell ref="A13:I13"/>
    <mergeCell ref="A20:I20"/>
    <mergeCell ref="A33:I33"/>
    <mergeCell ref="B3:I4"/>
    <mergeCell ref="A3:A4"/>
    <mergeCell ref="A44:A45"/>
    <mergeCell ref="G44:G45"/>
    <mergeCell ref="F44:F45"/>
    <mergeCell ref="B44:E45"/>
    <mergeCell ref="A40:I40"/>
    <mergeCell ref="H45:I45"/>
    <mergeCell ref="H44:I44"/>
    <mergeCell ref="F6:I6"/>
    <mergeCell ref="H42:I42"/>
    <mergeCell ref="H43:I43"/>
  </mergeCells>
  <conditionalFormatting sqref="A3:A4">
    <cfRule type="containsText" dxfId="17" priority="13" operator="containsText" text="Passed">
      <formula>NOT(ISERROR(SEARCH("Passed",A3)))</formula>
    </cfRule>
    <cfRule type="containsText" dxfId="16" priority="14" operator="containsText" text="Failed">
      <formula>NOT(ISERROR(SEARCH("Failed",A3)))</formula>
    </cfRule>
  </conditionalFormatting>
  <conditionalFormatting sqref="F44">
    <cfRule type="containsText" dxfId="15" priority="9" operator="containsText" text="Failed">
      <formula>NOT(ISERROR(SEARCH("Failed",F44)))</formula>
    </cfRule>
    <cfRule type="containsText" dxfId="14" priority="10" operator="containsText" text="Passed">
      <formula>NOT(ISERROR(SEARCH("Passed",F44)))</formula>
    </cfRule>
  </conditionalFormatting>
  <conditionalFormatting sqref="F41:G43">
    <cfRule type="containsText" dxfId="13" priority="11" operator="containsText" text="Failed">
      <formula>NOT(ISERROR(SEARCH("Failed",F41)))</formula>
    </cfRule>
    <cfRule type="containsText" dxfId="12" priority="12" operator="containsText" text="Passed">
      <formula>NOT(ISERROR(SEARCH("Passed",F41)))</formula>
    </cfRule>
  </conditionalFormatting>
  <conditionalFormatting sqref="G46:G1048576 G1:G35 G38:G40">
    <cfRule type="containsText" dxfId="9" priority="17" operator="containsText" text="Passed">
      <formula>NOT(ISERROR(SEARCH("Passed",G1)))</formula>
    </cfRule>
    <cfRule type="containsText" dxfId="8" priority="18" operator="containsText" text="Failed">
      <formula>NOT(ISERROR(SEARCH("Failed",G1)))</formula>
    </cfRule>
  </conditionalFormatting>
  <conditionalFormatting sqref="H1:H34 H38:H1048576">
    <cfRule type="containsText" dxfId="11" priority="15" operator="containsText" text="Passed">
      <formula>NOT(ISERROR(SEARCH("Passed",H1)))</formula>
    </cfRule>
    <cfRule type="containsText" dxfId="10" priority="16" operator="containsText" text="Failed">
      <formula>NOT(ISERROR(SEARCH("Failed",H1)))</formula>
    </cfRule>
  </conditionalFormatting>
  <conditionalFormatting sqref="G36:H36">
    <cfRule type="containsText" dxfId="7" priority="7" operator="containsText" text="Passed">
      <formula>NOT(ISERROR(SEARCH("Passed",G36)))</formula>
    </cfRule>
    <cfRule type="containsText" dxfId="6" priority="8" operator="containsText" text="Failed">
      <formula>NOT(ISERROR(SEARCH("Failed",G36)))</formula>
    </cfRule>
  </conditionalFormatting>
  <conditionalFormatting sqref="H37">
    <cfRule type="containsText" dxfId="5" priority="5" operator="containsText" text="Passed">
      <formula>NOT(ISERROR(SEARCH("Passed",H37)))</formula>
    </cfRule>
    <cfRule type="containsText" dxfId="4" priority="6" operator="containsText" text="Failed">
      <formula>NOT(ISERROR(SEARCH("Failed",H37)))</formula>
    </cfRule>
  </conditionalFormatting>
  <conditionalFormatting sqref="H35">
    <cfRule type="containsText" dxfId="3" priority="3" operator="containsText" text="Passed">
      <formula>NOT(ISERROR(SEARCH("Passed",H35)))</formula>
    </cfRule>
    <cfRule type="containsText" dxfId="2" priority="4" operator="containsText" text="Failed">
      <formula>NOT(ISERROR(SEARCH("Failed",H35)))</formula>
    </cfRule>
  </conditionalFormatting>
  <conditionalFormatting sqref="G37">
    <cfRule type="containsText" dxfId="1" priority="1" operator="containsText" text="Passed">
      <formula>NOT(ISERROR(SEARCH("Passed",G37)))</formula>
    </cfRule>
    <cfRule type="containsText" dxfId="0" priority="2" operator="containsText" text="Failed">
      <formula>NOT(ISERROR(SEARCH("Failed",G37)))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Tollefson</dc:creator>
  <cp:lastModifiedBy>Max Tollefson</cp:lastModifiedBy>
  <dcterms:created xsi:type="dcterms:W3CDTF">2026-02-13T13:41:54Z</dcterms:created>
  <dcterms:modified xsi:type="dcterms:W3CDTF">2026-08-12T20:23:51Z</dcterms:modified>
</cp:coreProperties>
</file>