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parnell\Desktop\"/>
    </mc:Choice>
  </mc:AlternateContent>
  <xr:revisionPtr revIDLastSave="0" documentId="8_{84255425-F2DC-4EDB-B710-6262569451E6}" xr6:coauthVersionLast="47" xr6:coauthVersionMax="47" xr10:uidLastSave="{00000000-0000-0000-0000-000000000000}"/>
  <bookViews>
    <workbookView xWindow="-120" yWindow="-120" windowWidth="29040" windowHeight="15720" xr2:uid="{C56247A9-9DA7-47F2-8F79-505458BA8B91}"/>
  </bookViews>
  <sheets>
    <sheet name="FRM-VAL-007 - Fuel Pump Valida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1" l="1"/>
  <c r="D30" i="1"/>
  <c r="H24" i="1"/>
  <c r="H23" i="1"/>
  <c r="H21" i="1"/>
  <c r="H16" i="1"/>
  <c r="H15" i="1"/>
  <c r="F17" i="1"/>
  <c r="E17" i="1"/>
  <c r="D48" i="1"/>
  <c r="D47" i="1"/>
  <c r="D46" i="1"/>
  <c r="H41" i="1"/>
  <c r="H40" i="1"/>
  <c r="H39" i="1"/>
  <c r="H38" i="1"/>
  <c r="H34" i="1"/>
  <c r="F33" i="1"/>
  <c r="E33" i="1"/>
  <c r="F22" i="1"/>
  <c r="E22" i="1"/>
  <c r="F21" i="1"/>
  <c r="E21" i="1"/>
  <c r="F32" i="1"/>
  <c r="E32" i="1"/>
  <c r="F24" i="1"/>
  <c r="E24" i="1"/>
  <c r="F23" i="1"/>
  <c r="E23" i="1"/>
  <c r="F20" i="1"/>
  <c r="E20" i="1"/>
  <c r="F19" i="1"/>
  <c r="E19" i="1"/>
  <c r="F18" i="1"/>
  <c r="E18" i="1"/>
  <c r="F16" i="1"/>
  <c r="E16" i="1"/>
  <c r="F15" i="1"/>
  <c r="E15" i="1"/>
  <c r="F14" i="1"/>
  <c r="E14" i="1"/>
  <c r="F13" i="1"/>
  <c r="E13" i="1"/>
  <c r="H22" i="1" l="1"/>
  <c r="F31" i="1"/>
  <c r="E31" i="1"/>
  <c r="H14" i="1"/>
  <c r="H20" i="1"/>
  <c r="H13" i="1"/>
  <c r="H19" i="1"/>
  <c r="H17" i="1"/>
  <c r="H18" i="1"/>
  <c r="F30" i="1"/>
  <c r="H32" i="1"/>
  <c r="E48" i="1"/>
  <c r="E47" i="1"/>
  <c r="F48" i="1"/>
  <c r="F47" i="1"/>
  <c r="F46" i="1"/>
  <c r="E46" i="1"/>
  <c r="H33" i="1"/>
  <c r="H30" i="1" l="1"/>
  <c r="H31" i="1"/>
  <c r="H48" i="1"/>
  <c r="H47" i="1"/>
  <c r="H46" i="1"/>
  <c r="B51" i="1"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<sst xmlns="http://schemas.openxmlformats.org/spreadsheetml/2006/main" count="108" uniqueCount="75">
  <si>
    <t>Parameter</t>
  </si>
  <si>
    <t>Nominal</t>
  </si>
  <si>
    <t>Min</t>
  </si>
  <si>
    <t>Max</t>
  </si>
  <si>
    <t>RESULT</t>
  </si>
  <si>
    <t>Requirement</t>
  </si>
  <si>
    <t>Pressure hold</t>
  </si>
  <si>
    <t>Must Hold (Y)</t>
  </si>
  <si>
    <t>Continuity</t>
  </si>
  <si>
    <t>Must Have Continuity (Y)</t>
  </si>
  <si>
    <t>Must Match Drawing (Y)</t>
  </si>
  <si>
    <t>Hardware included</t>
  </si>
  <si>
    <t>Effective Date:</t>
  </si>
  <si>
    <t>Approved By:</t>
  </si>
  <si>
    <t>Maxwell Tollefson</t>
  </si>
  <si>
    <t>FUEL PUMP VALIDATION DOCUMENT</t>
  </si>
  <si>
    <t>Doc ID: FRM-VAL-007</t>
  </si>
  <si>
    <t>1.0 PART &amp; INSPECTION INFORMATION</t>
  </si>
  <si>
    <t>2.0 DIMENSIONAL PARAMETERS</t>
  </si>
  <si>
    <t>3.0 DYNAMIC PARAMETERS</t>
  </si>
  <si>
    <t>4.0 VISUAL AND FUNCTIONAL CHECKS</t>
  </si>
  <si>
    <t>Supplier / Factory:</t>
  </si>
  <si>
    <t>Inspected By:</t>
  </si>
  <si>
    <t>Inspection Date:</t>
  </si>
  <si>
    <t>Batch Number:</t>
  </si>
  <si>
    <t>FINAL DISPOSITION:</t>
  </si>
  <si>
    <t>Authorized By (Signature):</t>
  </si>
  <si>
    <t>Deviation/Rejection Notes:</t>
  </si>
  <si>
    <t>Tolerance</t>
  </si>
  <si>
    <t>Overall Visual Match</t>
  </si>
  <si>
    <t>Drawing Part Number:</t>
  </si>
  <si>
    <t>NA</t>
  </si>
  <si>
    <t>5.0 PACKAGING</t>
  </si>
  <si>
    <t>Sample</t>
  </si>
  <si>
    <t>Sample Pass/Fail</t>
  </si>
  <si>
    <t>Selling Part Number:</t>
  </si>
  <si>
    <t>***Tolerence is precalculated to be 10% and will update when the nominal value is input. Do not manually adjust the tolerance values in this section***</t>
  </si>
  <si>
    <t>Pass/Fail</t>
  </si>
  <si>
    <t>[Input Pressure Value From Drawing Here]</t>
  </si>
  <si>
    <t>***Parameter names are general and may need to be adjusted for individual drawings. If all rows are not used label as NA. Extra blank rows are provided for additional dimensions as needed.***</t>
  </si>
  <si>
    <t>Approval Notes:</t>
  </si>
  <si>
    <t>Rev: C</t>
  </si>
  <si>
    <t>***This section is only used if a sample fails intital inspection, but is passed later after follow up from the factory (test method improvements, drawing update/correction, etc)***</t>
  </si>
  <si>
    <t>Parameter [mm]</t>
  </si>
  <si>
    <t xml:space="preserve">Bottom to lid height </t>
  </si>
  <si>
    <t xml:space="preserve">Compressed height </t>
  </si>
  <si>
    <t xml:space="preserve">Lid thickness diameter </t>
  </si>
  <si>
    <t xml:space="preserve">Lid diameter </t>
  </si>
  <si>
    <t xml:space="preserve">Mounting diameter </t>
  </si>
  <si>
    <t xml:space="preserve">Float upper limit height from bottom of pump </t>
  </si>
  <si>
    <t xml:space="preserve">Float arm lower limit height from bottom of pump </t>
  </si>
  <si>
    <t xml:space="preserve">Supply line 1 diameter </t>
  </si>
  <si>
    <t xml:space="preserve">Additional line 1 diameter </t>
  </si>
  <si>
    <t xml:space="preserve">Additional line 2 diameter </t>
  </si>
  <si>
    <t xml:space="preserve">Length </t>
  </si>
  <si>
    <t xml:space="preserve">Width </t>
  </si>
  <si>
    <t xml:space="preserve">Height </t>
  </si>
  <si>
    <t>Test Pressure [kPa]</t>
  </si>
  <si>
    <t>Min flow rate (at test presure) [lph]</t>
  </si>
  <si>
    <t>Shutoff pressure [kPa]</t>
  </si>
  <si>
    <t>F Resistance (Full) [Ohms]</t>
  </si>
  <si>
    <t>E Resistance (Empty) [Ohms]</t>
  </si>
  <si>
    <t>Flow Tolerance Range? (ex 130-170)</t>
  </si>
  <si>
    <t xml:space="preserve"> Minimum? (ex ≥120) Y/N</t>
  </si>
  <si>
    <t>Pinout Matches Drawing</t>
  </si>
  <si>
    <t>***Flow Rate has an allowable 15% tolerence below drawing specifications due to the differnce between D60 (factory) and Diesel (DMA) as testing mediums***                    ***Shutoff Pressure has an allowable 15% tolerence above drawing specifications due to the difference between D60 (factory) and Diesel (DMA) as testing mediums***</t>
  </si>
  <si>
    <t>6.0 Evaluation</t>
  </si>
  <si>
    <t>7.0 Furthur Review</t>
  </si>
  <si>
    <t>APPROVED</t>
  </si>
  <si>
    <t>REJECTED</t>
  </si>
  <si>
    <t>APPROVED WITH DEVIATION</t>
  </si>
  <si>
    <t>Purpose: To validate incoming First Article or production Fuel Pumps against the approved DMA engineering drawing.</t>
  </si>
  <si>
    <t>Y</t>
  </si>
  <si>
    <t>N</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</si>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</sst>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bgColor indexed="64"/>
      </patternFill>
    </fill>
  </fills>
  <borders count="4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top/>
      <bottom style="medium">
        <color indexed="64"/>
      </bottom>
      <diagonal/>
    </border>
    <border>
      <left style="thin">
        <color indexed="64"/>
      </left>
      <right/>
      <top/>
      <bottom style="medium">
        <color indexed="64"/>
      </bottom>
      <diagonal/>
    </border>
    <border>
      <left style="medium">
        <color indexed="64"/>
      </left>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0">
    <xf numFmtId="0" fontId="0" fillId="0" borderId="0" xfId="0"/>
    <xf numFmtId="0" fontId="0" fillId="0" borderId="13" xfId="0" applyBorder="1" applyAlignment="1">
      <alignment horizontal="center" vertical="center" wrapText="1"/>
    </xf>
    <xf numFmtId="0" fontId="0" fillId="0" borderId="0" xfId="0" applyAlignment="1">
      <alignment horizontal="center" vertical="center" wrapText="1"/>
    </xf>
    <xf numFmtId="0" fontId="0" fillId="0" borderId="14" xfId="0" applyBorder="1" applyAlignment="1">
      <alignment horizontal="center" vertical="center" wrapText="1"/>
    </xf>
    <xf numFmtId="14" fontId="0" fillId="0" borderId="14" xfId="0" applyNumberFormat="1" applyBorder="1" applyAlignment="1">
      <alignment horizontal="center" vertical="center" wrapText="1"/>
    </xf>
    <xf numFmtId="0" fontId="0" fillId="0" borderId="23"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4" xfId="0" applyBorder="1" applyAlignment="1">
      <alignment horizontal="center" vertical="center" wrapText="1"/>
    </xf>
    <xf numFmtId="0" fontId="16" fillId="0" borderId="0" xfId="0" applyFont="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1" fontId="0" fillId="0" borderId="14" xfId="0" applyNumberFormat="1" applyBorder="1" applyAlignment="1">
      <alignment horizontal="center" vertical="center" wrapText="1"/>
    </xf>
    <xf numFmtId="1" fontId="0" fillId="0" borderId="22" xfId="0" applyNumberFormat="1" applyBorder="1" applyAlignment="1">
      <alignment horizontal="center" vertical="center" wrapText="1"/>
    </xf>
    <xf numFmtId="0" fontId="0" fillId="0" borderId="0" xfId="0" applyAlignment="1">
      <alignment vertical="center" wrapText="1"/>
    </xf>
    <xf numFmtId="0" fontId="18" fillId="0" borderId="0" xfId="0" applyFont="1" applyAlignment="1">
      <alignment vertical="center" wrapText="1"/>
    </xf>
    <xf numFmtId="0" fontId="16" fillId="0" borderId="0" xfId="0" applyFont="1" applyAlignment="1">
      <alignment vertical="center" wrapText="1"/>
    </xf>
    <xf numFmtId="0" fontId="0" fillId="33" borderId="14" xfId="0" applyFill="1" applyBorder="1" applyAlignment="1">
      <alignment horizontal="center" vertical="center" wrapText="1"/>
    </xf>
    <xf numFmtId="0" fontId="0" fillId="33" borderId="31" xfId="0" applyFill="1" applyBorder="1" applyAlignment="1">
      <alignment horizontal="center" vertical="center" wrapText="1"/>
    </xf>
    <xf numFmtId="0" fontId="0" fillId="33" borderId="22" xfId="0" applyFill="1" applyBorder="1" applyAlignment="1">
      <alignment horizontal="center"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30" xfId="0" applyFont="1" applyBorder="1" applyAlignment="1">
      <alignment horizontal="center" vertical="center" wrapText="1"/>
    </xf>
    <xf numFmtId="0" fontId="16" fillId="0" borderId="23" xfId="0" applyFont="1" applyBorder="1" applyAlignment="1">
      <alignment horizontal="center" vertical="center" wrapText="1"/>
      <extLst>
        <ext xmlns:xfpb="http://schemas.microsoft.com/office/spreadsheetml/2022/featurepropertybag" uri="{C7286773-470A-42A8-94C5-96B5CB345126}">
          <xfpb:xfComplement i="0"/>
        </ext>
      </extLst>
    </xf>
    <xf numFmtId="0" fontId="16" fillId="0" borderId="14" xfId="0" applyFont="1" applyBorder="1" applyAlignment="1">
      <alignment horizontal="center" vertical="center" wrapText="1"/>
      <extLst>
        <ext xmlns:xfpb="http://schemas.microsoft.com/office/spreadsheetml/2022/featurepropertybag" uri="{C7286773-470A-42A8-94C5-96B5CB345126}">
          <xfpb:xfComplement i="0"/>
        </ext>
      </extLst>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16" fillId="0" borderId="15" xfId="0" applyFont="1" applyBorder="1" applyAlignment="1">
      <alignment horizontal="center" vertical="center" wrapText="1"/>
    </xf>
    <xf numFmtId="0" fontId="16" fillId="0" borderId="20" xfId="0" applyFont="1" applyBorder="1" applyAlignment="1">
      <alignment horizontal="center" vertical="center" wrapText="1"/>
    </xf>
    <xf numFmtId="0" fontId="0" fillId="0" borderId="14" xfId="0" applyBorder="1" applyAlignment="1">
      <alignment horizontal="center" vertical="center" wrapText="1"/>
    </xf>
    <xf numFmtId="0" fontId="0" fillId="0" borderId="23" xfId="0" applyBorder="1" applyAlignment="1">
      <alignment horizontal="center" vertical="center" wrapText="1"/>
    </xf>
    <xf numFmtId="0" fontId="0" fillId="0" borderId="22" xfId="0" applyBorder="1" applyAlignment="1">
      <alignment horizontal="center" vertical="center" wrapText="1"/>
    </xf>
    <xf numFmtId="0" fontId="0" fillId="0" borderId="24" xfId="0" applyBorder="1" applyAlignment="1">
      <alignment horizontal="center"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23" xfId="0" applyFont="1" applyBorder="1" applyAlignment="1">
      <alignment horizontal="center" vertical="center" wrapText="1"/>
    </xf>
    <xf numFmtId="0" fontId="0" fillId="0" borderId="15" xfId="0" applyBorder="1" applyAlignment="1">
      <alignment horizontal="center" vertical="center" wrapText="1"/>
    </xf>
    <xf numFmtId="0" fontId="0" fillId="0" borderId="20" xfId="0" applyBorder="1" applyAlignment="1">
      <alignment horizontal="center" vertical="center" wrapText="1"/>
    </xf>
    <xf numFmtId="0" fontId="0" fillId="0" borderId="0" xfId="0"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38" xfId="0" applyBorder="1" applyAlignment="1">
      <alignment horizontal="center" vertical="center" wrapText="1"/>
    </xf>
    <xf numFmtId="0" fontId="18" fillId="0" borderId="26" xfId="0" applyFont="1" applyBorder="1" applyAlignment="1">
      <alignment horizontal="center" vertical="center" wrapText="1"/>
    </xf>
    <xf numFmtId="0" fontId="18" fillId="0" borderId="27" xfId="0" applyFont="1" applyBorder="1" applyAlignment="1">
      <alignment horizontal="center" vertical="center" wrapText="1"/>
    </xf>
    <xf numFmtId="0" fontId="18" fillId="0" borderId="28" xfId="0" applyFont="1" applyBorder="1" applyAlignment="1">
      <alignment horizontal="center" vertical="center" wrapText="1"/>
    </xf>
    <xf numFmtId="0" fontId="0" fillId="0" borderId="40"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16" fillId="34" borderId="26" xfId="0" applyFont="1" applyFill="1" applyBorder="1" applyAlignment="1">
      <alignment horizontal="center" vertical="center" wrapText="1"/>
    </xf>
    <xf numFmtId="0" fontId="16" fillId="34" borderId="28" xfId="0" applyFont="1" applyFill="1" applyBorder="1" applyAlignment="1">
      <alignment horizontal="center" vertical="center" wrapText="1"/>
    </xf>
    <xf numFmtId="0" fontId="16" fillId="34" borderId="40" xfId="0" applyFont="1" applyFill="1" applyBorder="1" applyAlignment="1">
      <alignment horizontal="center" vertical="center" wrapText="1"/>
    </xf>
    <xf numFmtId="0" fontId="16" fillId="34" borderId="19" xfId="0" applyFont="1" applyFill="1" applyBorder="1" applyAlignment="1">
      <alignment horizontal="center" vertical="center" wrapText="1"/>
    </xf>
    <xf numFmtId="0" fontId="0" fillId="0" borderId="16" xfId="0" applyBorder="1" applyAlignment="1">
      <alignment horizontal="center" vertical="center" wrapText="1"/>
    </xf>
    <xf numFmtId="0" fontId="16" fillId="0" borderId="26"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28" xfId="0" applyFont="1" applyBorder="1" applyAlignment="1">
      <alignment horizontal="center" vertical="center" wrapText="1"/>
    </xf>
    <xf numFmtId="0" fontId="0" fillId="0" borderId="37" xfId="0" applyBorder="1" applyAlignment="1">
      <alignment horizontal="center" vertical="center" wrapText="1"/>
    </xf>
    <xf numFmtId="0" fontId="0" fillId="0" borderId="17" xfId="0" applyBorder="1" applyAlignment="1">
      <alignment horizontal="center" vertical="center" wrapText="1"/>
    </xf>
    <xf numFmtId="0" fontId="0" fillId="0" borderId="25" xfId="0" applyBorder="1" applyAlignment="1">
      <alignment horizontal="center" vertical="center" wrapText="1"/>
    </xf>
    <xf numFmtId="0" fontId="0" fillId="0" borderId="29" xfId="0" applyBorder="1" applyAlignment="1">
      <alignment horizontal="center" vertical="center" wrapText="1"/>
    </xf>
    <xf numFmtId="0" fontId="0" fillId="0" borderId="35" xfId="0" applyBorder="1" applyAlignment="1">
      <alignment horizontal="center" vertical="center" wrapText="1"/>
    </xf>
    <xf numFmtId="0" fontId="16" fillId="0" borderId="34" xfId="0" applyFont="1" applyBorder="1" applyAlignment="1">
      <alignment horizontal="center" vertical="center" wrapText="1"/>
    </xf>
    <xf numFmtId="0" fontId="0" fillId="0" borderId="36" xfId="0" applyBorder="1" applyAlignment="1">
      <alignment horizontal="center" vertical="center" wrapText="1"/>
    </xf>
    <xf numFmtId="0" fontId="0" fillId="0" borderId="39" xfId="0" applyBorder="1" applyAlignment="1">
      <alignment horizontal="center" vertical="center" wrapText="1"/>
    </xf>
    <xf numFmtId="0" fontId="0" fillId="0" borderId="13" xfId="0"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eetMetadata" Target="metadata.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7118B-3BC9-41A4-A326-7FB62068CE3A}">
  <dimension ref="A1:M61"/>
  <sheetViews>
    <sheetView tabSelected="1" zoomScaleNormal="100" workbookViewId="0">
      <selection activeCell="B61" sqref="B61:H61"/>
    </sheetView>
  </sheetViews>
  <sheetFormatPr defaultColWidth="9.140625" defaultRowHeight="15" x14ac:dyDescent="0.25"/>
  <cols>
    <col min="1" max="1" width="43.7109375" style="2" bestFit="1" customWidth="1"/>
    <col min="2" max="4" width="20.140625" style="2" customWidth="1"/>
    <col min="5" max="7" width="13.140625" style="2" customWidth="1"/>
    <col min="8" max="8" width="12.28515625" style="2" bestFit="1" customWidth="1"/>
    <col min="9" max="16384" width="9.140625" style="2"/>
  </cols>
  <sheetData>
    <row r="1" spans="1:13" ht="30" customHeight="1" x14ac:dyDescent="0.25">
      <c r="A1" s="47" t="s">
        <v>15</v>
      </c>
      <c r="B1" s="48"/>
      <c r="C1" s="48"/>
      <c r="D1" s="48"/>
      <c r="E1" s="48"/>
      <c r="F1" s="48"/>
      <c r="G1" s="48"/>
      <c r="H1" s="49"/>
      <c r="I1" s="15"/>
      <c r="J1" s="53" t="s">
        <v>34</v>
      </c>
      <c r="K1" s="54"/>
    </row>
    <row r="2" spans="1:13" ht="30" customHeight="1" thickBot="1" x14ac:dyDescent="0.3">
      <c r="A2" s="1" t="s">
        <v>16</v>
      </c>
      <c r="B2" s="41" t="s">
        <v>41</v>
      </c>
      <c r="C2" s="57"/>
      <c r="D2" s="42"/>
      <c r="E2" s="3" t="s">
        <v>12</v>
      </c>
      <c r="F2" s="4">
        <v>46175</v>
      </c>
      <c r="G2" s="3" t="s">
        <v>13</v>
      </c>
      <c r="H2" s="5" t="s">
        <v>14</v>
      </c>
      <c r="J2" s="55" t="s">
        <v>74</v>
      </c>
      <c r="K2" s="56"/>
    </row>
    <row r="3" spans="1:13" ht="30" customHeight="1" thickBot="1" x14ac:dyDescent="0.3">
      <c r="A3" s="50" t="s">
        <v>71</v>
      </c>
      <c r="B3" s="51"/>
      <c r="C3" s="51"/>
      <c r="D3" s="51"/>
      <c r="E3" s="51"/>
      <c r="F3" s="51"/>
      <c r="G3" s="51"/>
      <c r="H3" s="52"/>
      <c r="I3" s="14"/>
    </row>
    <row r="4" spans="1:13" ht="30" customHeight="1" thickBot="1" x14ac:dyDescent="0.3">
      <c r="A4" s="45"/>
      <c r="B4" s="45"/>
      <c r="C4" s="45"/>
      <c r="D4" s="45"/>
      <c r="E4" s="45"/>
      <c r="F4" s="45"/>
      <c r="G4" s="45"/>
      <c r="H4" s="45"/>
      <c r="I4" s="14"/>
    </row>
    <row r="5" spans="1:13" ht="30" customHeight="1" x14ac:dyDescent="0.25">
      <c r="A5" s="27" t="s">
        <v>17</v>
      </c>
      <c r="B5" s="28"/>
      <c r="C5" s="28"/>
      <c r="D5" s="28"/>
      <c r="E5" s="28"/>
      <c r="F5" s="28"/>
      <c r="G5" s="28"/>
      <c r="H5" s="29"/>
      <c r="I5" s="16"/>
    </row>
    <row r="6" spans="1:13" ht="30" customHeight="1" x14ac:dyDescent="0.25">
      <c r="A6" s="1" t="s">
        <v>35</v>
      </c>
      <c r="B6" s="34"/>
      <c r="C6" s="34"/>
      <c r="D6" s="34"/>
      <c r="E6" s="34" t="s">
        <v>30</v>
      </c>
      <c r="F6" s="34"/>
      <c r="G6" s="34"/>
      <c r="H6" s="35"/>
      <c r="I6" s="14"/>
    </row>
    <row r="7" spans="1:13" ht="30" customHeight="1" x14ac:dyDescent="0.25">
      <c r="A7" s="1" t="s">
        <v>21</v>
      </c>
      <c r="B7" s="34"/>
      <c r="C7" s="34"/>
      <c r="D7" s="34"/>
      <c r="E7" s="34" t="s">
        <v>24</v>
      </c>
      <c r="F7" s="34"/>
      <c r="G7" s="34"/>
      <c r="H7" s="35"/>
      <c r="I7" s="14"/>
    </row>
    <row r="8" spans="1:13" ht="30" customHeight="1" thickBot="1" x14ac:dyDescent="0.3">
      <c r="A8" s="6" t="s">
        <v>22</v>
      </c>
      <c r="B8" s="36"/>
      <c r="C8" s="36"/>
      <c r="D8" s="36"/>
      <c r="E8" s="36" t="s">
        <v>23</v>
      </c>
      <c r="F8" s="36"/>
      <c r="G8" s="36"/>
      <c r="H8" s="37"/>
      <c r="I8" s="14"/>
    </row>
    <row r="9" spans="1:13" ht="30" customHeight="1" thickBot="1" x14ac:dyDescent="0.3">
      <c r="A9" s="44"/>
      <c r="B9" s="45"/>
      <c r="C9" s="45"/>
      <c r="D9" s="45"/>
      <c r="E9" s="45"/>
      <c r="F9" s="45"/>
      <c r="G9" s="45"/>
      <c r="H9" s="45"/>
      <c r="I9" s="14"/>
    </row>
    <row r="10" spans="1:13" ht="30" customHeight="1" x14ac:dyDescent="0.25">
      <c r="A10" s="58" t="s">
        <v>18</v>
      </c>
      <c r="B10" s="59"/>
      <c r="C10" s="59"/>
      <c r="D10" s="59"/>
      <c r="E10" s="59"/>
      <c r="F10" s="59"/>
      <c r="G10" s="59"/>
      <c r="H10" s="60"/>
      <c r="I10" s="9"/>
    </row>
    <row r="11" spans="1:13" ht="30" customHeight="1" x14ac:dyDescent="0.25">
      <c r="A11" s="61" t="s">
        <v>39</v>
      </c>
      <c r="B11" s="57"/>
      <c r="C11" s="57"/>
      <c r="D11" s="57"/>
      <c r="E11" s="57"/>
      <c r="F11" s="57"/>
      <c r="G11" s="57"/>
      <c r="H11" s="62"/>
      <c r="I11" s="9"/>
    </row>
    <row r="12" spans="1:13" ht="30" customHeight="1" x14ac:dyDescent="0.25">
      <c r="A12" s="24" t="s">
        <v>43</v>
      </c>
      <c r="B12" s="32" t="s">
        <v>1</v>
      </c>
      <c r="C12" s="33"/>
      <c r="D12" s="21" t="s">
        <v>28</v>
      </c>
      <c r="E12" s="21" t="s">
        <v>2</v>
      </c>
      <c r="F12" s="21" t="s">
        <v>3</v>
      </c>
      <c r="G12" s="21" t="s">
        <v>33</v>
      </c>
      <c r="H12" s="22" t="s">
        <v>4</v>
      </c>
      <c r="L12" s="43"/>
      <c r="M12" s="43"/>
    </row>
    <row r="13" spans="1:13" ht="30" customHeight="1" x14ac:dyDescent="0.25">
      <c r="A13" s="1" t="s">
        <v>44</v>
      </c>
      <c r="B13" s="41" t="s">
        <v>31</v>
      </c>
      <c r="C13" s="42"/>
      <c r="D13" s="3" t="s">
        <v>31</v>
      </c>
      <c r="E13" s="3" t="e">
        <f t="shared" ref="E13:E24" si="0">B13-D13</f>
        <v>#VALUE!</v>
      </c>
      <c r="F13" s="3" t="e">
        <f t="shared" ref="F13:F24" si="1">B13+D13</f>
        <v>#VALUE!</v>
      </c>
      <c r="G13" s="3"/>
      <c r="H13" s="5" t="str">
        <f>IF(OR(B13="NA"),"Pass",IF(AND(E13&lt;=G13,G13&lt;=F13),"Pass","Fail"))</f>
        <v>Pass</v>
      </c>
      <c r="L13" s="43"/>
      <c r="M13" s="43"/>
    </row>
    <row r="14" spans="1:13" ht="30" customHeight="1" x14ac:dyDescent="0.25">
      <c r="A14" s="1" t="s">
        <v>45</v>
      </c>
      <c r="B14" s="41" t="s">
        <v>31</v>
      </c>
      <c r="C14" s="42"/>
      <c r="D14" s="3" t="s">
        <v>31</v>
      </c>
      <c r="E14" s="3" t="e">
        <f t="shared" si="0"/>
        <v>#VALUE!</v>
      </c>
      <c r="F14" s="3" t="e">
        <f t="shared" si="1"/>
        <v>#VALUE!</v>
      </c>
      <c r="G14" s="3"/>
      <c r="H14" s="5" t="str">
        <f t="shared" ref="H14:H24" si="2">IF(OR(B14="NA"),"Pass",IF(AND(E14&lt;=G14,G14&lt;=F14),"Pass","Fail"))</f>
        <v>Pass</v>
      </c>
    </row>
    <row r="15" spans="1:13" ht="30" customHeight="1" x14ac:dyDescent="0.25">
      <c r="A15" s="1" t="s">
        <v>46</v>
      </c>
      <c r="B15" s="41" t="s">
        <v>31</v>
      </c>
      <c r="C15" s="42"/>
      <c r="D15" s="3" t="s">
        <v>31</v>
      </c>
      <c r="E15" s="3" t="e">
        <f t="shared" si="0"/>
        <v>#VALUE!</v>
      </c>
      <c r="F15" s="3" t="e">
        <f t="shared" si="1"/>
        <v>#VALUE!</v>
      </c>
      <c r="G15" s="3"/>
      <c r="H15" s="5" t="str">
        <f t="shared" si="2"/>
        <v>Pass</v>
      </c>
    </row>
    <row r="16" spans="1:13" ht="30" customHeight="1" x14ac:dyDescent="0.25">
      <c r="A16" s="1" t="s">
        <v>47</v>
      </c>
      <c r="B16" s="41">
        <v>70</v>
      </c>
      <c r="C16" s="42"/>
      <c r="D16" s="3">
        <v>1</v>
      </c>
      <c r="E16" s="3">
        <f t="shared" si="0"/>
        <v>69</v>
      </c>
      <c r="F16" s="3">
        <f t="shared" si="1"/>
        <v>71</v>
      </c>
      <c r="G16" s="3"/>
      <c r="H16" s="5" t="str">
        <f t="shared" si="2"/>
        <v>Fail</v>
      </c>
    </row>
    <row r="17" spans="1:9" ht="30" customHeight="1" x14ac:dyDescent="0.25">
      <c r="A17" s="1" t="s">
        <v>48</v>
      </c>
      <c r="B17" s="41">
        <v>54</v>
      </c>
      <c r="C17" s="42"/>
      <c r="D17" s="3">
        <v>1</v>
      </c>
      <c r="E17" s="3">
        <f t="shared" ref="E17" si="3">B17-D17</f>
        <v>53</v>
      </c>
      <c r="F17" s="3">
        <f t="shared" ref="F17" si="4">B17+D17</f>
        <v>55</v>
      </c>
      <c r="G17" s="3"/>
      <c r="H17" s="5" t="str">
        <f t="shared" si="2"/>
        <v>Fail</v>
      </c>
    </row>
    <row r="18" spans="1:9" ht="30" customHeight="1" x14ac:dyDescent="0.25">
      <c r="A18" s="1" t="s">
        <v>49</v>
      </c>
      <c r="B18" s="41">
        <v>245</v>
      </c>
      <c r="C18" s="42"/>
      <c r="D18" s="3">
        <v>8</v>
      </c>
      <c r="E18" s="3">
        <f t="shared" si="0"/>
        <v>237</v>
      </c>
      <c r="F18" s="3">
        <f t="shared" si="1"/>
        <v>253</v>
      </c>
      <c r="G18" s="3"/>
      <c r="H18" s="5" t="str">
        <f t="shared" si="2"/>
        <v>Fail</v>
      </c>
    </row>
    <row r="19" spans="1:9" ht="30" customHeight="1" x14ac:dyDescent="0.25">
      <c r="A19" s="1" t="s">
        <v>50</v>
      </c>
      <c r="B19" s="41">
        <v>115</v>
      </c>
      <c r="C19" s="42"/>
      <c r="D19" s="3">
        <v>8</v>
      </c>
      <c r="E19" s="3">
        <f t="shared" si="0"/>
        <v>107</v>
      </c>
      <c r="F19" s="3">
        <f t="shared" si="1"/>
        <v>123</v>
      </c>
      <c r="G19" s="3"/>
      <c r="H19" s="5" t="str">
        <f t="shared" si="2"/>
        <v>Fail</v>
      </c>
    </row>
    <row r="20" spans="1:9" ht="30" customHeight="1" x14ac:dyDescent="0.25">
      <c r="A20" s="1" t="s">
        <v>51</v>
      </c>
      <c r="B20" s="41">
        <v>15.2</v>
      </c>
      <c r="C20" s="42"/>
      <c r="D20" s="3">
        <v>0.3</v>
      </c>
      <c r="E20" s="3">
        <f t="shared" si="0"/>
        <v>14.899999999999999</v>
      </c>
      <c r="F20" s="3">
        <f t="shared" si="1"/>
        <v>15.5</v>
      </c>
      <c r="G20" s="3"/>
      <c r="H20" s="5" t="str">
        <f t="shared" si="2"/>
        <v>Fail</v>
      </c>
    </row>
    <row r="21" spans="1:9" ht="30" customHeight="1" x14ac:dyDescent="0.25">
      <c r="A21" s="10" t="s">
        <v>52</v>
      </c>
      <c r="B21" s="41">
        <v>14.3</v>
      </c>
      <c r="C21" s="42"/>
      <c r="D21" s="3">
        <v>0.3</v>
      </c>
      <c r="E21" s="3">
        <f t="shared" ref="E21:E22" si="5">B21-D21</f>
        <v>14</v>
      </c>
      <c r="F21" s="3">
        <f t="shared" ref="F21:F22" si="6">B21+D21</f>
        <v>14.600000000000001</v>
      </c>
      <c r="G21" s="3"/>
      <c r="H21" s="5" t="str">
        <f t="shared" si="2"/>
        <v>Fail</v>
      </c>
    </row>
    <row r="22" spans="1:9" ht="30" customHeight="1" x14ac:dyDescent="0.25">
      <c r="A22" s="1" t="s">
        <v>53</v>
      </c>
      <c r="B22" s="41" t="s">
        <v>31</v>
      </c>
      <c r="C22" s="42"/>
      <c r="D22" s="3" t="s">
        <v>31</v>
      </c>
      <c r="E22" s="3" t="e">
        <f t="shared" si="5"/>
        <v>#VALUE!</v>
      </c>
      <c r="F22" s="3" t="e">
        <f t="shared" si="6"/>
        <v>#VALUE!</v>
      </c>
      <c r="G22" s="3"/>
      <c r="H22" s="5" t="str">
        <f t="shared" si="2"/>
        <v>Pass</v>
      </c>
    </row>
    <row r="23" spans="1:9" ht="30" customHeight="1" x14ac:dyDescent="0.25">
      <c r="A23" s="1"/>
      <c r="B23" s="41"/>
      <c r="C23" s="42"/>
      <c r="D23" s="3"/>
      <c r="E23" s="3">
        <f t="shared" si="0"/>
        <v>0</v>
      </c>
      <c r="F23" s="3">
        <f t="shared" si="1"/>
        <v>0</v>
      </c>
      <c r="G23" s="3"/>
      <c r="H23" s="5" t="str">
        <f t="shared" si="2"/>
        <v>Pass</v>
      </c>
    </row>
    <row r="24" spans="1:9" ht="30" customHeight="1" thickBot="1" x14ac:dyDescent="0.3">
      <c r="A24" s="6"/>
      <c r="B24" s="63"/>
      <c r="C24" s="64"/>
      <c r="D24" s="7"/>
      <c r="E24" s="7">
        <f t="shared" si="0"/>
        <v>0</v>
      </c>
      <c r="F24" s="7">
        <f t="shared" si="1"/>
        <v>0</v>
      </c>
      <c r="G24" s="7"/>
      <c r="H24" s="8" t="str">
        <f t="shared" si="2"/>
        <v>Pass</v>
      </c>
    </row>
    <row r="25" spans="1:9" ht="30" customHeight="1" thickBot="1" x14ac:dyDescent="0.3">
      <c r="A25" s="68"/>
      <c r="B25" s="46"/>
      <c r="C25" s="46"/>
      <c r="D25" s="46"/>
      <c r="E25" s="46"/>
      <c r="F25" s="46"/>
      <c r="G25" s="46"/>
      <c r="H25" s="46"/>
    </row>
    <row r="26" spans="1:9" ht="30" customHeight="1" x14ac:dyDescent="0.25">
      <c r="A26" s="58" t="s">
        <v>19</v>
      </c>
      <c r="B26" s="59"/>
      <c r="C26" s="59"/>
      <c r="D26" s="59"/>
      <c r="E26" s="59"/>
      <c r="F26" s="59"/>
      <c r="G26" s="59"/>
      <c r="H26" s="60"/>
      <c r="I26" s="9"/>
    </row>
    <row r="27" spans="1:9" ht="30" customHeight="1" x14ac:dyDescent="0.25">
      <c r="A27" s="61" t="s">
        <v>65</v>
      </c>
      <c r="B27" s="57"/>
      <c r="C27" s="57"/>
      <c r="D27" s="57"/>
      <c r="E27" s="57"/>
      <c r="F27" s="57"/>
      <c r="G27" s="57"/>
      <c r="H27" s="62"/>
      <c r="I27" s="9"/>
    </row>
    <row r="28" spans="1:9" ht="30" customHeight="1" x14ac:dyDescent="0.25">
      <c r="A28" s="20" t="s">
        <v>0</v>
      </c>
      <c r="B28" s="21" t="s">
        <v>1</v>
      </c>
      <c r="C28" s="21" t="s">
        <v>63</v>
      </c>
      <c r="D28" s="21" t="s">
        <v>62</v>
      </c>
      <c r="E28" s="21" t="s">
        <v>2</v>
      </c>
      <c r="F28" s="21" t="s">
        <v>3</v>
      </c>
      <c r="G28" s="21" t="s">
        <v>33</v>
      </c>
      <c r="H28" s="22" t="s">
        <v>4</v>
      </c>
    </row>
    <row r="29" spans="1:9" ht="30" customHeight="1" x14ac:dyDescent="0.25">
      <c r="A29" s="1" t="s">
        <v>57</v>
      </c>
      <c r="B29" s="41" t="s">
        <v>38</v>
      </c>
      <c r="C29" s="57"/>
      <c r="D29" s="57"/>
      <c r="E29" s="57"/>
      <c r="F29" s="57"/>
      <c r="G29" s="57"/>
      <c r="H29" s="62"/>
    </row>
    <row r="30" spans="1:9" ht="30" customHeight="1" x14ac:dyDescent="0.25">
      <c r="A30" s="1" t="s">
        <v>58</v>
      </c>
      <c r="B30" s="3">
        <v>80</v>
      </c>
      <c r="C30" s="3" t="s">
        <v>72</v>
      </c>
      <c r="D30" s="3" t="str">
        <f>IF(C30="Y", "NA", "0")</f>
        <v>NA</v>
      </c>
      <c r="E30" s="3">
        <f>IF(C30 = "Y", (B30-B30*0.15), B30-B30*0.15)</f>
        <v>68</v>
      </c>
      <c r="F30" s="3">
        <f>IF(C30="Y", 99999, B30+D30)</f>
        <v>99999</v>
      </c>
      <c r="G30" s="3"/>
      <c r="H30" s="5" t="str">
        <f t="shared" ref="H30:H33" si="7">IF(AND(G30&gt;=E30, G30&lt;=F30), "Pass", "Fail" )</f>
        <v>Fail</v>
      </c>
    </row>
    <row r="31" spans="1:9" ht="30" customHeight="1" x14ac:dyDescent="0.25">
      <c r="A31" s="1" t="s">
        <v>59</v>
      </c>
      <c r="B31" s="3">
        <v>55</v>
      </c>
      <c r="C31" s="3" t="s">
        <v>73</v>
      </c>
      <c r="D31" s="3">
        <v>25</v>
      </c>
      <c r="E31" s="3">
        <f>IF(C31 = "Y", B31, B31-D31)</f>
        <v>30</v>
      </c>
      <c r="F31" s="3">
        <f>IF(C31="Y",99999,(B31+D31)*1.15)</f>
        <v>92</v>
      </c>
      <c r="G31" s="3"/>
      <c r="H31" s="5" t="str">
        <f t="shared" si="7"/>
        <v>Fail</v>
      </c>
    </row>
    <row r="32" spans="1:9" ht="30" customHeight="1" x14ac:dyDescent="0.25">
      <c r="A32" s="1" t="s">
        <v>60</v>
      </c>
      <c r="B32" s="3">
        <v>76</v>
      </c>
      <c r="C32" s="17"/>
      <c r="D32" s="3">
        <v>3</v>
      </c>
      <c r="E32" s="3">
        <f t="shared" ref="E32" si="8">B32-D32</f>
        <v>73</v>
      </c>
      <c r="F32" s="3">
        <f t="shared" ref="F32" si="9">B32+D32</f>
        <v>79</v>
      </c>
      <c r="G32" s="3"/>
      <c r="H32" s="5" t="str">
        <f t="shared" si="7"/>
        <v>Fail</v>
      </c>
    </row>
    <row r="33" spans="1:9" ht="30" customHeight="1" x14ac:dyDescent="0.25">
      <c r="A33" s="10" t="s">
        <v>61</v>
      </c>
      <c r="B33" s="11">
        <v>10</v>
      </c>
      <c r="C33" s="18"/>
      <c r="D33" s="11">
        <v>2</v>
      </c>
      <c r="E33" s="3">
        <f t="shared" ref="E33" si="10">B33-D33</f>
        <v>8</v>
      </c>
      <c r="F33" s="3">
        <f t="shared" ref="F33" si="11">B33+D33</f>
        <v>12</v>
      </c>
      <c r="G33" s="11"/>
      <c r="H33" s="5" t="str">
        <f t="shared" si="7"/>
        <v>Fail</v>
      </c>
    </row>
    <row r="34" spans="1:9" ht="30" customHeight="1" thickBot="1" x14ac:dyDescent="0.3">
      <c r="A34" s="6" t="s">
        <v>11</v>
      </c>
      <c r="B34" s="7" t="s">
        <v>72</v>
      </c>
      <c r="C34" s="19"/>
      <c r="D34" s="7" t="s">
        <v>31</v>
      </c>
      <c r="E34" s="7" t="s">
        <v>31</v>
      </c>
      <c r="F34" s="7" t="s">
        <v>31</v>
      </c>
      <c r="G34" s="7"/>
      <c r="H34" s="8" t="str">
        <f>IF(AND(G34=B34), "Pass", "Fail")</f>
        <v>Fail</v>
      </c>
    </row>
    <row r="35" spans="1:9" ht="30" customHeight="1" thickBot="1" x14ac:dyDescent="0.3">
      <c r="A35" s="44"/>
      <c r="B35" s="45"/>
      <c r="C35" s="45"/>
      <c r="D35" s="45"/>
      <c r="E35" s="45"/>
      <c r="F35" s="45"/>
      <c r="G35" s="45"/>
      <c r="H35" s="45"/>
    </row>
    <row r="36" spans="1:9" ht="30" customHeight="1" x14ac:dyDescent="0.25">
      <c r="A36" s="58" t="s">
        <v>20</v>
      </c>
      <c r="B36" s="59"/>
      <c r="C36" s="59"/>
      <c r="D36" s="59"/>
      <c r="E36" s="59"/>
      <c r="F36" s="59"/>
      <c r="G36" s="59"/>
      <c r="H36" s="60"/>
      <c r="I36" s="9"/>
    </row>
    <row r="37" spans="1:9" ht="30" customHeight="1" x14ac:dyDescent="0.25">
      <c r="A37" s="20" t="s">
        <v>0</v>
      </c>
      <c r="B37" s="39" t="s">
        <v>5</v>
      </c>
      <c r="C37" s="39"/>
      <c r="D37" s="39"/>
      <c r="E37" s="39"/>
      <c r="F37" s="39"/>
      <c r="G37" s="21" t="s">
        <v>33</v>
      </c>
      <c r="H37" s="22" t="s">
        <v>4</v>
      </c>
    </row>
    <row r="38" spans="1:9" ht="30" customHeight="1" x14ac:dyDescent="0.25">
      <c r="A38" s="1" t="s">
        <v>6</v>
      </c>
      <c r="B38" s="34" t="s">
        <v>7</v>
      </c>
      <c r="C38" s="34"/>
      <c r="D38" s="34"/>
      <c r="E38" s="34"/>
      <c r="F38" s="34"/>
      <c r="G38" s="3"/>
      <c r="H38" s="5" t="str">
        <f>IF(AND(G38="Y"), "Pass", "Fail")</f>
        <v>Fail</v>
      </c>
    </row>
    <row r="39" spans="1:9" ht="30" customHeight="1" x14ac:dyDescent="0.25">
      <c r="A39" s="1" t="s">
        <v>8</v>
      </c>
      <c r="B39" s="34" t="s">
        <v>9</v>
      </c>
      <c r="C39" s="34"/>
      <c r="D39" s="34"/>
      <c r="E39" s="34"/>
      <c r="F39" s="34"/>
      <c r="G39" s="3"/>
      <c r="H39" s="5" t="str">
        <f t="shared" ref="H39:H41" si="12">IF(AND(G39="Y"), "Pass", "Fail")</f>
        <v>Fail</v>
      </c>
    </row>
    <row r="40" spans="1:9" ht="30" customHeight="1" x14ac:dyDescent="0.25">
      <c r="A40" s="1" t="s">
        <v>64</v>
      </c>
      <c r="B40" s="34" t="s">
        <v>10</v>
      </c>
      <c r="C40" s="34"/>
      <c r="D40" s="34"/>
      <c r="E40" s="34"/>
      <c r="F40" s="34"/>
      <c r="G40" s="3"/>
      <c r="H40" s="5" t="str">
        <f t="shared" si="12"/>
        <v>Fail</v>
      </c>
    </row>
    <row r="41" spans="1:9" ht="30" customHeight="1" thickBot="1" x14ac:dyDescent="0.3">
      <c r="A41" s="6" t="s">
        <v>29</v>
      </c>
      <c r="B41" s="36" t="s">
        <v>10</v>
      </c>
      <c r="C41" s="36"/>
      <c r="D41" s="36"/>
      <c r="E41" s="36"/>
      <c r="F41" s="36"/>
      <c r="G41" s="7"/>
      <c r="H41" s="8" t="str">
        <f t="shared" si="12"/>
        <v>Fail</v>
      </c>
    </row>
    <row r="42" spans="1:9" ht="30" customHeight="1" thickBot="1" x14ac:dyDescent="0.3">
      <c r="A42" s="46"/>
      <c r="B42" s="46"/>
      <c r="C42" s="46"/>
      <c r="D42" s="46"/>
      <c r="E42" s="46"/>
      <c r="F42" s="46"/>
      <c r="G42" s="46"/>
      <c r="H42" s="46"/>
    </row>
    <row r="43" spans="1:9" ht="30" customHeight="1" x14ac:dyDescent="0.25">
      <c r="A43" s="66" t="s">
        <v>32</v>
      </c>
      <c r="B43" s="65"/>
      <c r="C43" s="65"/>
      <c r="D43" s="65"/>
      <c r="E43" s="65"/>
      <c r="F43" s="65"/>
      <c r="G43" s="65"/>
      <c r="H43" s="67"/>
    </row>
    <row r="44" spans="1:9" ht="30" customHeight="1" x14ac:dyDescent="0.25">
      <c r="A44" s="69" t="s">
        <v>36</v>
      </c>
      <c r="B44" s="34"/>
      <c r="C44" s="34"/>
      <c r="D44" s="34"/>
      <c r="E44" s="34"/>
      <c r="F44" s="34"/>
      <c r="G44" s="34"/>
      <c r="H44" s="35"/>
    </row>
    <row r="45" spans="1:9" ht="30" customHeight="1" x14ac:dyDescent="0.25">
      <c r="A45" s="20" t="s">
        <v>43</v>
      </c>
      <c r="B45" s="32" t="s">
        <v>1</v>
      </c>
      <c r="C45" s="33"/>
      <c r="D45" s="21" t="s">
        <v>28</v>
      </c>
      <c r="E45" s="21" t="s">
        <v>2</v>
      </c>
      <c r="F45" s="21" t="s">
        <v>3</v>
      </c>
      <c r="G45" s="21" t="s">
        <v>33</v>
      </c>
      <c r="H45" s="22" t="s">
        <v>4</v>
      </c>
    </row>
    <row r="46" spans="1:9" ht="30" customHeight="1" x14ac:dyDescent="0.25">
      <c r="A46" s="1" t="s">
        <v>54</v>
      </c>
      <c r="B46" s="41">
        <v>450</v>
      </c>
      <c r="C46" s="42"/>
      <c r="D46" s="12">
        <f>B46*0.1</f>
        <v>45</v>
      </c>
      <c r="E46" s="3">
        <f t="shared" ref="E46:E47" si="13">B46-D46</f>
        <v>405</v>
      </c>
      <c r="F46" s="3">
        <f t="shared" ref="F46:F48" si="14">B46+D46</f>
        <v>495</v>
      </c>
      <c r="G46" s="3"/>
      <c r="H46" s="5" t="str">
        <f t="shared" ref="H46:H48" si="15">IF(AND(G46&gt;=E46, G46&lt;=F46), "Pass", "Fail" )</f>
        <v>Fail</v>
      </c>
    </row>
    <row r="47" spans="1:9" ht="30" customHeight="1" x14ac:dyDescent="0.25">
      <c r="A47" s="1" t="s">
        <v>55</v>
      </c>
      <c r="B47" s="41">
        <v>330</v>
      </c>
      <c r="C47" s="42"/>
      <c r="D47" s="12">
        <f>B47*0.1</f>
        <v>33</v>
      </c>
      <c r="E47" s="3">
        <f t="shared" si="13"/>
        <v>297</v>
      </c>
      <c r="F47" s="3">
        <f t="shared" si="14"/>
        <v>363</v>
      </c>
      <c r="G47" s="3"/>
      <c r="H47" s="5" t="str">
        <f t="shared" si="15"/>
        <v>Fail</v>
      </c>
    </row>
    <row r="48" spans="1:9" ht="30" customHeight="1" thickBot="1" x14ac:dyDescent="0.3">
      <c r="A48" s="6" t="s">
        <v>56</v>
      </c>
      <c r="B48" s="63">
        <v>220</v>
      </c>
      <c r="C48" s="64"/>
      <c r="D48" s="13">
        <f>B48*0.1</f>
        <v>22</v>
      </c>
      <c r="E48" s="7">
        <f>B48-D48</f>
        <v>198</v>
      </c>
      <c r="F48" s="7">
        <f t="shared" si="14"/>
        <v>242</v>
      </c>
      <c r="G48" s="7"/>
      <c r="H48" s="8" t="str">
        <f t="shared" si="15"/>
        <v>Fail</v>
      </c>
    </row>
    <row r="49" spans="1:9" ht="30" customHeight="1" thickBot="1" x14ac:dyDescent="0.3">
      <c r="A49" s="65"/>
      <c r="B49" s="65"/>
      <c r="C49" s="65"/>
      <c r="D49" s="65"/>
      <c r="E49" s="65"/>
      <c r="F49" s="65"/>
      <c r="G49" s="65"/>
      <c r="H49" s="65"/>
    </row>
    <row r="50" spans="1:9" ht="30" customHeight="1" x14ac:dyDescent="0.25">
      <c r="A50" s="27" t="s">
        <v>66</v>
      </c>
      <c r="B50" s="28"/>
      <c r="C50" s="28"/>
      <c r="D50" s="28"/>
      <c r="E50" s="28"/>
      <c r="F50" s="28"/>
      <c r="G50" s="28"/>
      <c r="H50" s="29"/>
    </row>
    <row r="51" spans="1:9" ht="30" customHeight="1" x14ac:dyDescent="0.25">
      <c r="A51" s="20" t="s">
        <v>37</v>
      </c>
      <c r="B51" s="34" t="str" cm="1">
        <f t="array" ref="B51">IF(AND(H13:H24="Pass",H30:H34="Pass",H38:H41="Pass",H46:H48="Pass"),"Pass","Fail")</f>
        <v>Fail</v>
      </c>
      <c r="C51" s="34"/>
      <c r="D51" s="34"/>
      <c r="E51" s="34"/>
      <c r="F51" s="34"/>
      <c r="G51" s="34"/>
      <c r="H51" s="35"/>
    </row>
    <row r="52" spans="1:9" ht="30" customHeight="1" x14ac:dyDescent="0.25">
      <c r="A52" s="20" t="s">
        <v>25</v>
      </c>
      <c r="B52" s="21" t="s">
        <v>68</v>
      </c>
      <c r="C52" s="26" t="b">
        <v>0</v>
      </c>
      <c r="D52" s="21" t="s">
        <v>69</v>
      </c>
      <c r="E52" s="26" t="b">
        <v>0</v>
      </c>
      <c r="F52" s="32" t="s">
        <v>70</v>
      </c>
      <c r="G52" s="33"/>
      <c r="H52" s="25" t="b">
        <v>0</v>
      </c>
      <c r="I52" s="14"/>
    </row>
    <row r="53" spans="1:9" ht="30" customHeight="1" x14ac:dyDescent="0.25">
      <c r="A53" s="20" t="s">
        <v>26</v>
      </c>
      <c r="B53" s="34"/>
      <c r="C53" s="34"/>
      <c r="D53" s="34"/>
      <c r="E53" s="34"/>
      <c r="F53" s="34"/>
      <c r="G53" s="34"/>
      <c r="H53" s="35"/>
      <c r="I53" s="14"/>
    </row>
    <row r="54" spans="1:9" ht="30" customHeight="1" thickBot="1" x14ac:dyDescent="0.3">
      <c r="A54" s="23" t="s">
        <v>27</v>
      </c>
      <c r="B54" s="36"/>
      <c r="C54" s="36"/>
      <c r="D54" s="36"/>
      <c r="E54" s="36"/>
      <c r="F54" s="36"/>
      <c r="G54" s="36"/>
      <c r="H54" s="37"/>
      <c r="I54" s="14"/>
    </row>
    <row r="55" spans="1:9" ht="15.75" thickBot="1" x14ac:dyDescent="0.3"/>
    <row r="56" spans="1:9" ht="30" customHeight="1" x14ac:dyDescent="0.25">
      <c r="A56" s="27" t="s">
        <v>67</v>
      </c>
      <c r="B56" s="30"/>
      <c r="C56" s="30"/>
      <c r="D56" s="30"/>
      <c r="E56" s="30"/>
      <c r="F56" s="30"/>
      <c r="G56" s="30"/>
      <c r="H56" s="31"/>
    </row>
    <row r="57" spans="1:9" ht="30" customHeight="1" x14ac:dyDescent="0.25">
      <c r="A57" s="38" t="s">
        <v>42</v>
      </c>
      <c r="B57" s="39"/>
      <c r="C57" s="39"/>
      <c r="D57" s="39"/>
      <c r="E57" s="39"/>
      <c r="F57" s="39"/>
      <c r="G57" s="39"/>
      <c r="H57" s="40"/>
    </row>
    <row r="58" spans="1:9" ht="30" customHeight="1" x14ac:dyDescent="0.25">
      <c r="A58" s="20" t="s">
        <v>37</v>
      </c>
      <c r="B58" s="34"/>
      <c r="C58" s="34"/>
      <c r="D58" s="34"/>
      <c r="E58" s="34"/>
      <c r="F58" s="34"/>
      <c r="G58" s="34"/>
      <c r="H58" s="35"/>
    </row>
    <row r="59" spans="1:9" ht="30" customHeight="1" x14ac:dyDescent="0.25">
      <c r="A59" s="20" t="s">
        <v>25</v>
      </c>
      <c r="B59" s="21" t="s">
        <v>68</v>
      </c>
      <c r="C59" s="26" t="b">
        <v>0</v>
      </c>
      <c r="D59" s="21" t="s">
        <v>69</v>
      </c>
      <c r="E59" s="26" t="b">
        <v>0</v>
      </c>
      <c r="F59" s="32" t="s">
        <v>70</v>
      </c>
      <c r="G59" s="33"/>
      <c r="H59" s="25" t="b">
        <v>0</v>
      </c>
    </row>
    <row r="60" spans="1:9" ht="30" customHeight="1" x14ac:dyDescent="0.25">
      <c r="A60" s="20" t="s">
        <v>26</v>
      </c>
      <c r="B60" s="34"/>
      <c r="C60" s="34"/>
      <c r="D60" s="34"/>
      <c r="E60" s="34"/>
      <c r="F60" s="34"/>
      <c r="G60" s="34"/>
      <c r="H60" s="35"/>
    </row>
    <row r="61" spans="1:9" ht="30" customHeight="1" thickBot="1" x14ac:dyDescent="0.3">
      <c r="A61" s="23" t="s">
        <v>40</v>
      </c>
      <c r="B61" s="36"/>
      <c r="C61" s="36"/>
      <c r="D61" s="36"/>
      <c r="E61" s="36"/>
      <c r="F61" s="36"/>
      <c r="G61" s="36"/>
      <c r="H61" s="37"/>
    </row>
  </sheetData>
  <mergeCells count="64">
    <mergeCell ref="A49:H49"/>
    <mergeCell ref="A43:H43"/>
    <mergeCell ref="A26:H26"/>
    <mergeCell ref="A25:H25"/>
    <mergeCell ref="A36:H36"/>
    <mergeCell ref="A27:H27"/>
    <mergeCell ref="B39:F39"/>
    <mergeCell ref="B40:F40"/>
    <mergeCell ref="B41:F41"/>
    <mergeCell ref="A44:H44"/>
    <mergeCell ref="B45:C45"/>
    <mergeCell ref="B46:C46"/>
    <mergeCell ref="B47:C47"/>
    <mergeCell ref="B48:C48"/>
    <mergeCell ref="B12:C12"/>
    <mergeCell ref="B13:C13"/>
    <mergeCell ref="B14:C14"/>
    <mergeCell ref="B15:C15"/>
    <mergeCell ref="B29:H29"/>
    <mergeCell ref="B23:C23"/>
    <mergeCell ref="B24:C24"/>
    <mergeCell ref="E7:F7"/>
    <mergeCell ref="E8:F8"/>
    <mergeCell ref="B6:D6"/>
    <mergeCell ref="A10:H10"/>
    <mergeCell ref="A11:H11"/>
    <mergeCell ref="G8:H8"/>
    <mergeCell ref="G7:H7"/>
    <mergeCell ref="G6:H6"/>
    <mergeCell ref="A9:H9"/>
    <mergeCell ref="B7:D7"/>
    <mergeCell ref="B8:D8"/>
    <mergeCell ref="E6:F6"/>
    <mergeCell ref="A1:H1"/>
    <mergeCell ref="A3:H3"/>
    <mergeCell ref="J1:K1"/>
    <mergeCell ref="J2:K2"/>
    <mergeCell ref="A5:H5"/>
    <mergeCell ref="B2:D2"/>
    <mergeCell ref="A4:H4"/>
    <mergeCell ref="B61:H61"/>
    <mergeCell ref="A57:H57"/>
    <mergeCell ref="B17:C17"/>
    <mergeCell ref="L12:M12"/>
    <mergeCell ref="L13:M13"/>
    <mergeCell ref="B58:H58"/>
    <mergeCell ref="B37:F37"/>
    <mergeCell ref="B38:F38"/>
    <mergeCell ref="B20:C20"/>
    <mergeCell ref="B21:C21"/>
    <mergeCell ref="B22:C22"/>
    <mergeCell ref="A35:H35"/>
    <mergeCell ref="A42:H42"/>
    <mergeCell ref="B16:C16"/>
    <mergeCell ref="B18:C18"/>
    <mergeCell ref="B19:C19"/>
    <mergeCell ref="A50:H50"/>
    <mergeCell ref="A56:H56"/>
    <mergeCell ref="F59:G59"/>
    <mergeCell ref="F52:G52"/>
    <mergeCell ref="B60:H60"/>
    <mergeCell ref="B54:H54"/>
    <mergeCell ref="B53:H53"/>
    <mergeCell ref="B51:H51"/>
  </mergeCells>
  <conditionalFormatting sqref="B6:D8 G6:H8 B13:D22 G13:G22 B30:C31 G30:G34 D32:D33 B32:B34 G38:G41 B46:C48 G46:G48 B53:H54">
    <cfRule type="containsBlanks" dxfId="4" priority="1">
      <formula>LEN(TRIM(B6))=0</formula>
    </cfRule>
  </conditionalFormatting>
  <conditionalFormatting sqref="H1:H49 B51:H51 H52:H55 H57 B58:H58 H59:H1048576">
    <cfRule type="containsText" dxfId="3" priority="7" operator="containsText" text="Pass">
      <formula>NOT(ISERROR(SEARCH("Pass",B1)))</formula>
    </cfRule>
  </conditionalFormatting>
  <conditionalFormatting sqref="H1:H49 H52:H55 B51:H51 H57 B58:H58 H59:H1048576">
    <cfRule type="containsText" dxfId="2" priority="6" operator="containsText" text="Fail">
      <formula>NOT(ISERROR(SEARCH("Fail",B1)))</formula>
    </cfRule>
  </conditionalFormatting>
  <conditionalFormatting sqref="J2">
    <cfRule type="containsText" dxfId="1" priority="8" operator="containsText" text="Fail">
      <formula>NOT(ISERROR(SEARCH("Fail",J2)))</formula>
    </cfRule>
    <cfRule type="containsText" dxfId="0" priority="9" operator="containsText" text="Pass">
      <formula>NOT(ISERROR(SEARCH("Pass",J2)))</formula>
    </cfRule>
  </conditionalFormatting>
  <dataValidations count="1">
    <dataValidation type="list" allowBlank="1" showInputMessage="1" showErrorMessage="1" sqref="G34 G38:G41 C30:C31" xr:uid="{F50E7C66-7DCF-4C20-9D4A-BBC2D1EA272F}">
      <formula1>"Y, N"</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FRM-VAL-007 - Fuel Pump Validat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Jordon Howard</dc:creator>
  <cp:lastModifiedBy>Shawn Parnell</cp:lastModifiedBy>
  <dcterms:created xsi:type="dcterms:W3CDTF">2026-05-14T17:25:32Z</dcterms:created>
  <dcterms:modified xsi:type="dcterms:W3CDTF">2026-10-13T19:39:49Z</dcterms:modified>
</cp:coreProperties>
</file>