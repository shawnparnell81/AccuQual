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parnell\Desktop\"/>
    </mc:Choice>
  </mc:AlternateContent>
  <xr:revisionPtr revIDLastSave="0" documentId="8_{D82550F8-03C2-4489-8973-3A34223E3D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M-DEV-006 - Air Strut Devel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zQzNf/cRPRlALotHgPQshs1mTWq1RMN5vvzHL84EUs="/>
    </ext>
  </extLst>
</workbook>
</file>

<file path=xl/calcChain.xml><?xml version="1.0" encoding="utf-8"?>
<calcChain xmlns="http://schemas.openxmlformats.org/spreadsheetml/2006/main">
  <c r="D48" i="1" l="1"/>
  <c r="B28" i="1"/>
  <c r="F29" i="1" s="1"/>
  <c r="F30" i="1" s="1"/>
  <c r="F82" i="1"/>
  <c r="F81" i="1"/>
  <c r="F80" i="1"/>
  <c r="F79" i="1"/>
  <c r="H65" i="1"/>
  <c r="G65" i="1"/>
  <c r="F65" i="1"/>
  <c r="E65" i="1"/>
  <c r="D65" i="1"/>
  <c r="H64" i="1"/>
  <c r="G64" i="1"/>
  <c r="F64" i="1"/>
  <c r="E64" i="1"/>
  <c r="D64" i="1"/>
  <c r="H57" i="1"/>
  <c r="G57" i="1"/>
  <c r="F57" i="1"/>
  <c r="E57" i="1"/>
  <c r="D57" i="1"/>
  <c r="H56" i="1"/>
  <c r="G56" i="1"/>
  <c r="F56" i="1"/>
  <c r="E56" i="1"/>
  <c r="D56" i="1"/>
  <c r="H49" i="1"/>
  <c r="G49" i="1"/>
  <c r="F49" i="1"/>
  <c r="E49" i="1"/>
  <c r="D49" i="1"/>
  <c r="H48" i="1"/>
  <c r="G48" i="1"/>
  <c r="F48" i="1"/>
  <c r="E48" i="1"/>
  <c r="H41" i="1"/>
  <c r="G41" i="1"/>
  <c r="F41" i="1"/>
  <c r="E41" i="1"/>
  <c r="D41" i="1"/>
  <c r="H40" i="1"/>
  <c r="G40" i="1"/>
  <c r="F40" i="1"/>
  <c r="E40" i="1"/>
  <c r="D40" i="1"/>
  <c r="H20" i="1"/>
  <c r="H17" i="1"/>
  <c r="H16" i="1"/>
  <c r="H14" i="1"/>
  <c r="H13" i="1"/>
  <c r="B29" i="1" l="1"/>
  <c r="B30" i="1" s="1"/>
  <c r="H30" i="1" s="1"/>
  <c r="H29" i="1" l="1"/>
  <c r="G7" i="1" s="1"/>
  <c r="B84" i="1"/>
</calcChain>
</file>

<file path=xl/sharedStrings.xml><?xml version="1.0" encoding="utf-8"?>
<sst xmlns="http://schemas.openxmlformats.org/spreadsheetml/2006/main" count="135" uniqueCount="78">
  <si>
    <t>AIR STRUT VALIDATION DOCUMENT</t>
  </si>
  <si>
    <t>Doc ID: FRM-VAL-010</t>
  </si>
  <si>
    <t>Rev: A</t>
  </si>
  <si>
    <t>Effective Date: 09/04/2026</t>
  </si>
  <si>
    <t>Approved By:</t>
  </si>
  <si>
    <t>Maxwell Tollefson</t>
  </si>
  <si>
    <t>Purpose: To validate incoming First Article or production of Air Struts against the approved DMA engineering drawing</t>
  </si>
  <si>
    <t>1.0 PROJECT &amp; VEHICLE INFORMATION</t>
  </si>
  <si>
    <t>DMA Part Number:</t>
  </si>
  <si>
    <t>Drawing Number:</t>
  </si>
  <si>
    <t xml:space="preserve">PASS / FAIL </t>
  </si>
  <si>
    <t>Supplier / Factory:</t>
  </si>
  <si>
    <t>Batch/PO Number:</t>
  </si>
  <si>
    <t>Inspected By:</t>
  </si>
  <si>
    <t>Inspection Date:</t>
  </si>
  <si>
    <t>Vehicle Weight (lbs):</t>
  </si>
  <si>
    <t>Weight Distribution (%):</t>
  </si>
  <si>
    <t>Motion Ratio:</t>
  </si>
  <si>
    <t>2.0 PHYSICAL DIMENSIONS &amp; CONSTRUCTION</t>
  </si>
  <si>
    <t>Criteria</t>
  </si>
  <si>
    <t>Nominal</t>
  </si>
  <si>
    <t>Tolerances</t>
  </si>
  <si>
    <t>Sample</t>
  </si>
  <si>
    <t>Pass/Fail</t>
  </si>
  <si>
    <t>Overall Length of Air Strut (mm):</t>
  </si>
  <si>
    <t>Stroke Length (mm):</t>
  </si>
  <si>
    <t>Bump Stop Length (mm):</t>
  </si>
  <si>
    <t>Top Mounting Type:</t>
  </si>
  <si>
    <t>Bottom Mounting Type:</t>
  </si>
  <si>
    <t>Top Air Bag Construction:</t>
  </si>
  <si>
    <t>Bottom Air Bag Construction:</t>
  </si>
  <si>
    <t>Paint Thickness (microns):</t>
  </si>
  <si>
    <t>3.0 PNEUMATIC SPRING RATE &amp; FORCE</t>
  </si>
  <si>
    <t>Force (N) at 20 PSI:</t>
  </si>
  <si>
    <t>Force (N) at 40 PSI:</t>
  </si>
  <si>
    <t>Spring Rate (N/mm) at 20 PSI:</t>
  </si>
  <si>
    <t>Spring Rate (N/mm) at 40 PSI:</t>
  </si>
  <si>
    <t>Target Ride Height Force:</t>
  </si>
  <si>
    <t>Calculated Ride Height PSI:</t>
  </si>
  <si>
    <t>Calculated Ride Height PSI Spring Rate (N/mm):</t>
  </si>
  <si>
    <t>4.0 DAMPING FORCE TEST (CTW DYNO / JASO C602)</t>
  </si>
  <si>
    <t>Current State</t>
  </si>
  <si>
    <t>Velocity (m/s)</t>
  </si>
  <si>
    <t>Compression Force (N)</t>
  </si>
  <si>
    <t>Rebound Force (N)</t>
  </si>
  <si>
    <t>Compression Tolerance</t>
  </si>
  <si>
    <t>Rebound Tolernace</t>
  </si>
  <si>
    <t>Compression Pass / Fail</t>
  </si>
  <si>
    <t>Rebound Pass / Fail</t>
  </si>
  <si>
    <t>State 3: ________Amps</t>
  </si>
  <si>
    <t>State 4: ________Amps</t>
  </si>
  <si>
    <t>5.0 ELECTRONICS &amp; HARDWARE</t>
  </si>
  <si>
    <t>Resistance of Electronics (Ohms):</t>
  </si>
  <si>
    <t>Inductance of Electronics @ 1kHz (mH):</t>
  </si>
  <si>
    <t>Impedance of Electronics @ 1kHz (Ohms):</t>
  </si>
  <si>
    <t>Hardware Kit Contents:</t>
  </si>
  <si>
    <t>Location 1 Thread Size and Nut Style:</t>
  </si>
  <si>
    <t>Location 2 Thread Size and Nut Style:</t>
  </si>
  <si>
    <t>Location 3 Thread Size and Nut Style:</t>
  </si>
  <si>
    <t>6.0 WEIGHTS &amp; PACKAGING</t>
  </si>
  <si>
    <t>Component</t>
  </si>
  <si>
    <t>Notes</t>
  </si>
  <si>
    <t>Airbag Weight (lbs):</t>
  </si>
  <si>
    <t>Strut Body Weight (lbs):</t>
  </si>
  <si>
    <t>Hardware Weight (oz):</t>
  </si>
  <si>
    <t>Total Package Weight (lbs):</t>
  </si>
  <si>
    <t>FINAL DISPOSITION:</t>
  </si>
  <si>
    <t>Authorized By (Signature):</t>
  </si>
  <si>
    <t>Deviation/Rejection Notes:</t>
  </si>
  <si>
    <t xml:space="preserve"> </t>
  </si>
  <si>
    <t>NA</t>
  </si>
  <si>
    <t>EYELET</t>
  </si>
  <si>
    <t>State 1: ____0____Amps</t>
  </si>
  <si>
    <t>State 2: ___2.0___Amps</t>
  </si>
  <si>
    <t>Eyelet</t>
  </si>
  <si>
    <t>1 STUD</t>
  </si>
  <si>
    <t>1 Stud</t>
  </si>
  <si>
    <t>[  ] APPROVED WITH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</si>
</sst>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b/>
      <sz val="22"/>
      <color theme="1"/>
      <name val="Arial"/>
    </font>
    <font>
      <sz val="11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1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1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 wrapText="1"/>
    </xf>
    <xf numFmtId="0" fontId="8" fillId="0" borderId="35" xfId="0" applyFont="1" applyBorder="1"/>
    <xf numFmtId="0" fontId="8" fillId="0" borderId="4" xfId="0" applyFont="1" applyBorder="1"/>
    <xf numFmtId="0" fontId="8" fillId="0" borderId="17" xfId="0" applyFont="1" applyBorder="1"/>
    <xf numFmtId="0" fontId="3" fillId="0" borderId="3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0" xfId="0"/>
    <xf numFmtId="0" fontId="8" fillId="0" borderId="36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7" xfId="0" applyFont="1" applyBorder="1"/>
    <xf numFmtId="0" fontId="8" fillId="0" borderId="36" xfId="0" applyFont="1" applyBorder="1" applyAlignment="1">
      <alignment horizontal="left"/>
    </xf>
    <xf numFmtId="0" fontId="2" fillId="0" borderId="3" xfId="0" applyFont="1" applyBorder="1"/>
    <xf numFmtId="0" fontId="8" fillId="0" borderId="5" xfId="0" applyFont="1" applyBorder="1" applyAlignment="1">
      <alignment horizontal="center"/>
    </xf>
    <xf numFmtId="0" fontId="2" fillId="0" borderId="34" xfId="0" applyFont="1" applyBorder="1"/>
    <xf numFmtId="0" fontId="2" fillId="0" borderId="8" xfId="0" applyFont="1" applyBorder="1"/>
    <xf numFmtId="0" fontId="8" fillId="0" borderId="22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2" fillId="0" borderId="6" xfId="0" applyFont="1" applyBorder="1"/>
    <xf numFmtId="0" fontId="4" fillId="0" borderId="22" xfId="0" applyFont="1" applyBorder="1" applyAlignment="1">
      <alignment vertical="center" wrapText="1"/>
    </xf>
    <xf numFmtId="0" fontId="2" fillId="0" borderId="23" xfId="0" applyFont="1" applyBorder="1"/>
    <xf numFmtId="0" fontId="3" fillId="0" borderId="2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7" fillId="0" borderId="28" xfId="0" applyFont="1" applyBorder="1" applyAlignment="1">
      <alignment vertical="center" wrapText="1"/>
    </xf>
    <xf numFmtId="0" fontId="2" fillId="0" borderId="30" xfId="0" applyFont="1" applyBorder="1"/>
    <xf numFmtId="0" fontId="4" fillId="0" borderId="29" xfId="0" applyFont="1" applyBorder="1" applyAlignment="1">
      <alignment horizontal="left" vertical="center" wrapText="1"/>
    </xf>
    <xf numFmtId="0" fontId="2" fillId="0" borderId="31" xfId="0" applyFont="1" applyBorder="1"/>
    <xf numFmtId="0" fontId="2" fillId="0" borderId="32" xfId="0" applyFont="1" applyBorder="1"/>
    <xf numFmtId="0" fontId="3" fillId="0" borderId="29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12" xfId="0" applyFont="1" applyBorder="1"/>
    <xf numFmtId="0" fontId="2" fillId="0" borderId="16" xfId="0" applyFont="1" applyBorder="1"/>
    <xf numFmtId="0" fontId="2" fillId="0" borderId="19" xfId="0" applyFont="1" applyBorder="1"/>
    <xf numFmtId="0" fontId="2" fillId="0" borderId="20" xfId="0" applyFont="1" applyBorder="1"/>
    <xf numFmtId="1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2" fillId="0" borderId="13" xfId="0" applyFont="1" applyBorder="1"/>
    <xf numFmtId="0" fontId="5" fillId="0" borderId="25" xfId="0" applyFont="1" applyBorder="1" applyAlignment="1">
      <alignment horizontal="center" vertical="center" wrapText="1"/>
    </xf>
    <xf numFmtId="0" fontId="2" fillId="0" borderId="26" xfId="0" applyFont="1" applyBorder="1"/>
    <xf numFmtId="0" fontId="2" fillId="0" borderId="27" xfId="0" applyFont="1" applyBorder="1"/>
  </cellXfs>
  <cellStyles count="1">
    <cellStyle name="Normal" xfId="0" builtinId="0"/>
  </cellStyles>
  <dxfs count="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EBB5F"/>
          <bgColor rgb="FF0EBB5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EBB5F"/>
          <bgColor rgb="FF0EBB5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4"/>
  <sheetViews>
    <sheetView tabSelected="1" workbookViewId="0">
      <selection activeCell="F44" sqref="F44"/>
    </sheetView>
  </sheetViews>
  <sheetFormatPr defaultColWidth="12.5703125" defaultRowHeight="15" customHeight="1"/>
  <cols>
    <col min="1" max="1" width="43.28515625" customWidth="1"/>
    <col min="2" max="3" width="23.7109375" customWidth="1"/>
    <col min="4" max="8" width="23.140625" customWidth="1"/>
    <col min="9" max="27" width="9.140625" customWidth="1"/>
  </cols>
  <sheetData>
    <row r="1" spans="1:27" ht="30.75" customHeight="1">
      <c r="A1" s="71" t="s">
        <v>0</v>
      </c>
      <c r="B1" s="30"/>
      <c r="C1" s="30"/>
      <c r="D1" s="30"/>
      <c r="E1" s="30"/>
      <c r="F1" s="30"/>
      <c r="G1" s="30"/>
      <c r="H1" s="3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0.75" customHeight="1">
      <c r="A2" s="2" t="s">
        <v>1</v>
      </c>
      <c r="B2" s="61" t="s">
        <v>2</v>
      </c>
      <c r="C2" s="44"/>
      <c r="D2" s="72" t="s">
        <v>3</v>
      </c>
      <c r="E2" s="44"/>
      <c r="F2" s="3" t="s">
        <v>4</v>
      </c>
      <c r="G2" s="51" t="s">
        <v>5</v>
      </c>
      <c r="H2" s="3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.75" customHeight="1">
      <c r="A3" s="73" t="s">
        <v>6</v>
      </c>
      <c r="B3" s="38"/>
      <c r="C3" s="38"/>
      <c r="D3" s="38"/>
      <c r="E3" s="38"/>
      <c r="F3" s="38"/>
      <c r="G3" s="38"/>
      <c r="H3" s="3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0.75" customHeight="1">
      <c r="A4" s="27"/>
      <c r="B4" s="28"/>
      <c r="C4" s="28"/>
      <c r="D4" s="28"/>
      <c r="E4" s="28"/>
      <c r="F4" s="28"/>
      <c r="G4" s="28"/>
      <c r="H4" s="7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0.75" customHeight="1">
      <c r="A5" s="50" t="s">
        <v>7</v>
      </c>
      <c r="B5" s="30"/>
      <c r="C5" s="30"/>
      <c r="D5" s="30"/>
      <c r="E5" s="30"/>
      <c r="F5" s="30"/>
      <c r="G5" s="30"/>
      <c r="H5" s="3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0.75" customHeight="1">
      <c r="A6" s="2" t="s">
        <v>8</v>
      </c>
      <c r="B6" s="60"/>
      <c r="C6" s="44"/>
      <c r="D6" s="3" t="s">
        <v>9</v>
      </c>
      <c r="E6" s="62"/>
      <c r="F6" s="44"/>
      <c r="G6" s="40" t="s">
        <v>10</v>
      </c>
      <c r="H6" s="3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0.75" customHeight="1">
      <c r="A7" s="2" t="s">
        <v>11</v>
      </c>
      <c r="B7" s="60"/>
      <c r="C7" s="44"/>
      <c r="D7" s="3" t="s">
        <v>12</v>
      </c>
      <c r="E7" s="62"/>
      <c r="F7" s="44"/>
      <c r="G7" s="63" t="str">
        <f>IF(COUNTIF(H13:H82, "Fail") + COUNTIF(D40:H65, "Fail") + COUNTIF(F79:F82, "Fail") &gt; 0, "FAIL", "PASS")</f>
        <v>FAIL</v>
      </c>
      <c r="H7" s="6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0.75" customHeight="1">
      <c r="A8" s="4" t="s">
        <v>13</v>
      </c>
      <c r="B8" s="60"/>
      <c r="C8" s="44"/>
      <c r="D8" s="3" t="s">
        <v>14</v>
      </c>
      <c r="E8" s="69"/>
      <c r="F8" s="44"/>
      <c r="G8" s="65"/>
      <c r="H8" s="6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0.75" customHeight="1">
      <c r="A9" s="5" t="s">
        <v>15</v>
      </c>
      <c r="B9" s="6"/>
      <c r="C9" s="6" t="s">
        <v>16</v>
      </c>
      <c r="D9" s="6"/>
      <c r="E9" s="7" t="s">
        <v>17</v>
      </c>
      <c r="F9" s="7"/>
      <c r="G9" s="67"/>
      <c r="H9" s="6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0.75" customHeight="1">
      <c r="A10" s="70"/>
      <c r="B10" s="28"/>
      <c r="C10" s="28"/>
      <c r="D10" s="28"/>
      <c r="E10" s="28"/>
      <c r="F10" s="28"/>
      <c r="G10" s="28"/>
      <c r="H10" s="2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0.75" customHeight="1">
      <c r="A11" s="50" t="s">
        <v>18</v>
      </c>
      <c r="B11" s="30"/>
      <c r="C11" s="30"/>
      <c r="D11" s="30"/>
      <c r="E11" s="30"/>
      <c r="F11" s="30"/>
      <c r="G11" s="30"/>
      <c r="H11" s="3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0.75" customHeight="1">
      <c r="A12" s="4" t="s">
        <v>19</v>
      </c>
      <c r="B12" s="60" t="s">
        <v>20</v>
      </c>
      <c r="C12" s="44"/>
      <c r="D12" s="60" t="s">
        <v>21</v>
      </c>
      <c r="E12" s="44"/>
      <c r="F12" s="61" t="s">
        <v>22</v>
      </c>
      <c r="G12" s="44"/>
      <c r="H12" s="9" t="s">
        <v>23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0.75" customHeight="1">
      <c r="A13" s="4" t="s">
        <v>24</v>
      </c>
      <c r="B13" s="61">
        <v>441</v>
      </c>
      <c r="C13" s="44"/>
      <c r="D13" s="61">
        <v>3</v>
      </c>
      <c r="E13" s="44"/>
      <c r="F13" s="61"/>
      <c r="G13" s="44"/>
      <c r="H13" s="9" t="str">
        <f t="shared" ref="H13:H20" si="0">IF(OR(B13="", D13="", F13=""), "Fail", IF(ABS(F13 - B13) &lt;= D13, "Pass", "Fail"))</f>
        <v>Fail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0.75" customHeight="1">
      <c r="A14" s="4" t="s">
        <v>25</v>
      </c>
      <c r="B14" s="61">
        <v>123</v>
      </c>
      <c r="C14" s="44"/>
      <c r="D14" s="61">
        <v>3</v>
      </c>
      <c r="E14" s="44"/>
      <c r="F14" s="61"/>
      <c r="G14" s="44"/>
      <c r="H14" s="9" t="str">
        <f t="shared" si="0"/>
        <v>Fail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0.75" customHeight="1">
      <c r="A15" s="4" t="s">
        <v>26</v>
      </c>
      <c r="B15" s="61" t="s">
        <v>70</v>
      </c>
      <c r="C15" s="44"/>
      <c r="D15" s="61" t="s">
        <v>70</v>
      </c>
      <c r="E15" s="44"/>
      <c r="F15" s="61"/>
      <c r="G15" s="44"/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0.75" customHeight="1">
      <c r="A16" s="4" t="s">
        <v>27</v>
      </c>
      <c r="B16" s="61" t="s">
        <v>75</v>
      </c>
      <c r="C16" s="44"/>
      <c r="D16" s="61" t="s">
        <v>70</v>
      </c>
      <c r="E16" s="44"/>
      <c r="F16" s="61" t="s">
        <v>76</v>
      </c>
      <c r="G16" s="44"/>
      <c r="H16" s="9" t="e">
        <f t="shared" si="0"/>
        <v>#VALUE!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0.75" customHeight="1">
      <c r="A17" s="4" t="s">
        <v>28</v>
      </c>
      <c r="B17" s="61" t="s">
        <v>71</v>
      </c>
      <c r="C17" s="44"/>
      <c r="D17" s="61" t="s">
        <v>70</v>
      </c>
      <c r="E17" s="44"/>
      <c r="F17" s="61" t="s">
        <v>74</v>
      </c>
      <c r="G17" s="44"/>
      <c r="H17" s="9" t="e">
        <f t="shared" si="0"/>
        <v>#VALUE!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.75" customHeight="1">
      <c r="A18" s="4" t="s">
        <v>29</v>
      </c>
      <c r="B18" s="61" t="s">
        <v>70</v>
      </c>
      <c r="C18" s="44"/>
      <c r="D18" s="61" t="s">
        <v>70</v>
      </c>
      <c r="E18" s="44"/>
      <c r="F18" s="61"/>
      <c r="G18" s="44"/>
      <c r="H18" s="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0.75" customHeight="1">
      <c r="A19" s="4" t="s">
        <v>30</v>
      </c>
      <c r="B19" s="61" t="s">
        <v>70</v>
      </c>
      <c r="C19" s="44"/>
      <c r="D19" s="61" t="s">
        <v>70</v>
      </c>
      <c r="E19" s="44"/>
      <c r="F19" s="61"/>
      <c r="G19" s="44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0.75" customHeight="1">
      <c r="A20" s="10" t="s">
        <v>31</v>
      </c>
      <c r="B20" s="45">
        <v>40</v>
      </c>
      <c r="C20" s="46"/>
      <c r="D20" s="45">
        <v>100</v>
      </c>
      <c r="E20" s="46"/>
      <c r="F20" s="45"/>
      <c r="G20" s="46"/>
      <c r="H20" s="11" t="str">
        <f t="shared" si="0"/>
        <v>Fail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0.75" customHeight="1">
      <c r="A21" s="70"/>
      <c r="B21" s="28"/>
      <c r="C21" s="28"/>
      <c r="D21" s="28"/>
      <c r="E21" s="28"/>
      <c r="F21" s="28"/>
      <c r="G21" s="28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0.75" customHeight="1">
      <c r="A22" s="75" t="s">
        <v>32</v>
      </c>
      <c r="B22" s="76"/>
      <c r="C22" s="76"/>
      <c r="D22" s="76"/>
      <c r="E22" s="76"/>
      <c r="F22" s="76"/>
      <c r="G22" s="76"/>
      <c r="H22" s="7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.75" customHeight="1">
      <c r="A23" s="4" t="s">
        <v>19</v>
      </c>
      <c r="B23" s="51" t="s">
        <v>20</v>
      </c>
      <c r="C23" s="44"/>
      <c r="D23" s="51" t="s">
        <v>21</v>
      </c>
      <c r="E23" s="44"/>
      <c r="F23" s="61" t="s">
        <v>22</v>
      </c>
      <c r="G23" s="44"/>
      <c r="H23" s="12" t="s">
        <v>23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0.75" customHeight="1">
      <c r="A24" s="2" t="s">
        <v>33</v>
      </c>
      <c r="B24" s="61"/>
      <c r="C24" s="44"/>
      <c r="D24" s="61"/>
      <c r="E24" s="44"/>
      <c r="F24" s="61"/>
      <c r="G24" s="44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0.75" customHeight="1">
      <c r="A25" s="2" t="s">
        <v>34</v>
      </c>
      <c r="B25" s="61"/>
      <c r="C25" s="44"/>
      <c r="D25" s="61"/>
      <c r="E25" s="44"/>
      <c r="F25" s="61"/>
      <c r="G25" s="44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0.75" customHeight="1">
      <c r="A26" s="2" t="s">
        <v>35</v>
      </c>
      <c r="B26" s="61"/>
      <c r="C26" s="44"/>
      <c r="D26" s="61"/>
      <c r="E26" s="44"/>
      <c r="F26" s="61"/>
      <c r="G26" s="44"/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0.75" customHeight="1">
      <c r="A27" s="2" t="s">
        <v>36</v>
      </c>
      <c r="B27" s="61"/>
      <c r="C27" s="44"/>
      <c r="D27" s="61"/>
      <c r="E27" s="44"/>
      <c r="F27" s="61"/>
      <c r="G27" s="44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0.75" customHeight="1">
      <c r="A28" s="2" t="s">
        <v>37</v>
      </c>
      <c r="B28" s="40" t="e">
        <f>(B9*(D9/100)/2/F9)*4.45</f>
        <v>#DIV/0!</v>
      </c>
      <c r="C28" s="41"/>
      <c r="D28" s="41"/>
      <c r="E28" s="41"/>
      <c r="F28" s="41"/>
      <c r="G28" s="41"/>
      <c r="H28" s="4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30.75" customHeight="1">
      <c r="A29" s="2" t="s">
        <v>38</v>
      </c>
      <c r="B29" s="43" t="e">
        <f>(B28-B24)/((B25-B24)/20)+20</f>
        <v>#DIV/0!</v>
      </c>
      <c r="C29" s="44"/>
      <c r="D29" s="43"/>
      <c r="E29" s="44"/>
      <c r="F29" s="43" t="e">
        <f>(B28-F24)/((F25-F24)/20)+20</f>
        <v>#DIV/0!</v>
      </c>
      <c r="G29" s="44"/>
      <c r="H29" s="9" t="e">
        <f t="shared" ref="H29:H30" si="1">IF(OR(B29="", D29="", F29=""), "Fail", IF(ABS(F29 - B29) &lt;= D29, "Pass", "Fail"))</f>
        <v>#DIV/0!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0.75" customHeight="1">
      <c r="A30" s="10" t="s">
        <v>39</v>
      </c>
      <c r="B30" s="58" t="e">
        <f>((B29-20)*((B27-B26)/20))+B26</f>
        <v>#DIV/0!</v>
      </c>
      <c r="C30" s="46"/>
      <c r="D30" s="58"/>
      <c r="E30" s="46"/>
      <c r="F30" s="58" t="e">
        <f>((F29-20)*((F27-F26)/20))+F26</f>
        <v>#DIV/0!</v>
      </c>
      <c r="G30" s="46"/>
      <c r="H30" s="11" t="e">
        <f t="shared" si="1"/>
        <v>#DIV/0!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0.75" customHeight="1">
      <c r="A31" s="27"/>
      <c r="B31" s="28"/>
      <c r="C31" s="28"/>
      <c r="D31" s="28"/>
      <c r="E31" s="28"/>
      <c r="F31" s="28"/>
      <c r="G31" s="28"/>
      <c r="H31" s="2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30.75" customHeight="1">
      <c r="A32" s="50" t="s">
        <v>40</v>
      </c>
      <c r="B32" s="30"/>
      <c r="C32" s="30"/>
      <c r="D32" s="30"/>
      <c r="E32" s="30"/>
      <c r="F32" s="30"/>
      <c r="G32" s="30"/>
      <c r="H32" s="3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0.75" customHeight="1">
      <c r="A33" s="13"/>
      <c r="B33" s="3" t="s">
        <v>41</v>
      </c>
      <c r="C33" s="3" t="s">
        <v>42</v>
      </c>
      <c r="D33" s="14">
        <v>0.05</v>
      </c>
      <c r="E33" s="14">
        <v>0.1</v>
      </c>
      <c r="F33" s="14">
        <v>0.3</v>
      </c>
      <c r="G33" s="14">
        <v>0.6</v>
      </c>
      <c r="H33" s="15">
        <v>1</v>
      </c>
      <c r="I33" s="16"/>
      <c r="J33" s="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30.75" customHeight="1">
      <c r="A34" s="52" t="s">
        <v>20</v>
      </c>
      <c r="B34" s="57" t="s">
        <v>72</v>
      </c>
      <c r="C34" s="3" t="s">
        <v>43</v>
      </c>
      <c r="D34" s="17"/>
      <c r="E34" s="17"/>
      <c r="F34" s="17"/>
      <c r="G34" s="17"/>
      <c r="H34" s="18"/>
      <c r="I34" s="1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30.75" customHeight="1">
      <c r="A35" s="53"/>
      <c r="B35" s="55"/>
      <c r="C35" s="3" t="s">
        <v>44</v>
      </c>
      <c r="D35" s="17"/>
      <c r="E35" s="17"/>
      <c r="F35" s="17"/>
      <c r="G35" s="17"/>
      <c r="H35" s="18"/>
      <c r="I35" s="1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30.75" customHeight="1">
      <c r="A36" s="52" t="s">
        <v>22</v>
      </c>
      <c r="B36" s="55"/>
      <c r="C36" s="3" t="s">
        <v>43</v>
      </c>
      <c r="D36" s="17"/>
      <c r="E36" s="17"/>
      <c r="F36" s="17"/>
      <c r="G36" s="17"/>
      <c r="H36" s="18"/>
      <c r="I36" s="1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0.75" customHeight="1">
      <c r="A37" s="53"/>
      <c r="B37" s="56"/>
      <c r="C37" s="3" t="s">
        <v>44</v>
      </c>
      <c r="D37" s="17"/>
      <c r="E37" s="17"/>
      <c r="F37" s="17"/>
      <c r="G37" s="17"/>
      <c r="H37" s="18"/>
      <c r="I37" s="1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0.75" customHeight="1">
      <c r="A38" s="48" t="s">
        <v>45</v>
      </c>
      <c r="B38" s="35"/>
      <c r="C38" s="44"/>
      <c r="D38" s="17">
        <v>175</v>
      </c>
      <c r="E38" s="17">
        <v>165</v>
      </c>
      <c r="F38" s="17">
        <v>160</v>
      </c>
      <c r="G38" s="17">
        <v>248</v>
      </c>
      <c r="H38" s="18">
        <v>368</v>
      </c>
      <c r="I38" s="1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30.75" customHeight="1">
      <c r="A39" s="48" t="s">
        <v>46</v>
      </c>
      <c r="B39" s="35"/>
      <c r="C39" s="44"/>
      <c r="D39" s="17">
        <v>101</v>
      </c>
      <c r="E39" s="17">
        <v>110</v>
      </c>
      <c r="F39" s="17">
        <v>142</v>
      </c>
      <c r="G39" s="17">
        <v>252</v>
      </c>
      <c r="H39" s="18">
        <v>426</v>
      </c>
      <c r="I39" s="1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30.75" customHeight="1">
      <c r="A40" s="48" t="s">
        <v>47</v>
      </c>
      <c r="B40" s="35"/>
      <c r="C40" s="44"/>
      <c r="D40" s="3" t="str">
        <f t="shared" ref="D40:H40" si="2">IF(COUNT(D34, D36, D38) &lt; 3, "Fail", IF(ABS(D36 - D34) &lt;= D38, "Pass", "Fail"))</f>
        <v>Fail</v>
      </c>
      <c r="E40" s="3" t="str">
        <f t="shared" si="2"/>
        <v>Fail</v>
      </c>
      <c r="F40" s="3" t="str">
        <f t="shared" si="2"/>
        <v>Fail</v>
      </c>
      <c r="G40" s="3" t="str">
        <f t="shared" si="2"/>
        <v>Fail</v>
      </c>
      <c r="H40" s="9" t="str">
        <f t="shared" si="2"/>
        <v>Fail</v>
      </c>
      <c r="I40" s="1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0.75" customHeight="1">
      <c r="A41" s="48" t="s">
        <v>48</v>
      </c>
      <c r="B41" s="35"/>
      <c r="C41" s="44"/>
      <c r="D41" s="3" t="str">
        <f t="shared" ref="D41:H41" si="3">IF(COUNT(D35, D37, D39) &lt; 3, "Fail", IF(ABS(D37 - D35) &lt;= D39, "Pass", "Fail"))</f>
        <v>Fail</v>
      </c>
      <c r="E41" s="3" t="str">
        <f t="shared" si="3"/>
        <v>Fail</v>
      </c>
      <c r="F41" s="3" t="str">
        <f t="shared" si="3"/>
        <v>Fail</v>
      </c>
      <c r="G41" s="3" t="str">
        <f t="shared" si="3"/>
        <v>Fail</v>
      </c>
      <c r="H41" s="9" t="str">
        <f t="shared" si="3"/>
        <v>Fail</v>
      </c>
      <c r="I41" s="1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30.75" customHeight="1">
      <c r="A42" s="52" t="s">
        <v>20</v>
      </c>
      <c r="B42" s="54" t="s">
        <v>73</v>
      </c>
      <c r="C42" s="3" t="s">
        <v>43</v>
      </c>
      <c r="D42" s="17"/>
      <c r="E42" s="17"/>
      <c r="F42" s="17"/>
      <c r="G42" s="17"/>
      <c r="H42" s="18"/>
      <c r="I42" s="1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0.75" customHeight="1">
      <c r="A43" s="53"/>
      <c r="B43" s="55"/>
      <c r="C43" s="3" t="s">
        <v>44</v>
      </c>
      <c r="D43" s="17"/>
      <c r="E43" s="17"/>
      <c r="F43" s="17"/>
      <c r="G43" s="17"/>
      <c r="H43" s="18"/>
      <c r="I43" s="1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30.75" customHeight="1">
      <c r="A44" s="52" t="s">
        <v>22</v>
      </c>
      <c r="B44" s="55"/>
      <c r="C44" s="3" t="s">
        <v>43</v>
      </c>
      <c r="D44" s="17"/>
      <c r="E44" s="17"/>
      <c r="F44" s="17"/>
      <c r="G44" s="17"/>
      <c r="H44" s="18"/>
      <c r="I44" s="1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0.75" customHeight="1">
      <c r="A45" s="53"/>
      <c r="B45" s="56"/>
      <c r="C45" s="3" t="s">
        <v>44</v>
      </c>
      <c r="D45" s="17"/>
      <c r="E45" s="17"/>
      <c r="F45" s="17"/>
      <c r="G45" s="17"/>
      <c r="H45" s="18"/>
      <c r="I45" s="1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30.75" customHeight="1">
      <c r="A46" s="48" t="s">
        <v>45</v>
      </c>
      <c r="B46" s="35"/>
      <c r="C46" s="44"/>
      <c r="D46" s="17">
        <v>589</v>
      </c>
      <c r="E46" s="17">
        <v>662</v>
      </c>
      <c r="F46" s="17">
        <v>536</v>
      </c>
      <c r="G46" s="17">
        <v>616</v>
      </c>
      <c r="H46" s="18">
        <v>694</v>
      </c>
      <c r="I46" s="1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30.75" customHeight="1">
      <c r="A47" s="48" t="s">
        <v>46</v>
      </c>
      <c r="B47" s="35"/>
      <c r="C47" s="44"/>
      <c r="D47" s="17">
        <v>603</v>
      </c>
      <c r="E47" s="17">
        <v>647</v>
      </c>
      <c r="F47" s="17">
        <v>514</v>
      </c>
      <c r="G47" s="17">
        <v>623</v>
      </c>
      <c r="H47" s="18">
        <v>739</v>
      </c>
      <c r="I47" s="1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30.75" customHeight="1">
      <c r="A48" s="48" t="s">
        <v>47</v>
      </c>
      <c r="B48" s="35"/>
      <c r="C48" s="44"/>
      <c r="D48" s="3" t="str">
        <f t="shared" ref="D48:H48" si="4">IF(COUNT(D42, D44, D46) &lt; 3, "Fail", IF(ABS(D44 - D42) &lt;= D46, "Pass", "Fail"))</f>
        <v>Fail</v>
      </c>
      <c r="E48" s="3" t="str">
        <f t="shared" si="4"/>
        <v>Fail</v>
      </c>
      <c r="F48" s="3" t="str">
        <f t="shared" si="4"/>
        <v>Fail</v>
      </c>
      <c r="G48" s="3" t="str">
        <f t="shared" si="4"/>
        <v>Fail</v>
      </c>
      <c r="H48" s="9" t="str">
        <f t="shared" si="4"/>
        <v>Fail</v>
      </c>
      <c r="I48" s="1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30.75" customHeight="1">
      <c r="A49" s="48" t="s">
        <v>48</v>
      </c>
      <c r="B49" s="35"/>
      <c r="C49" s="44"/>
      <c r="D49" s="3" t="str">
        <f t="shared" ref="D49:H49" si="5">IF(COUNT(D43, D45, D47) &lt; 3, "Fail", IF(ABS(D45 - D43) &lt;= D47, "Pass", "Fail"))</f>
        <v>Fail</v>
      </c>
      <c r="E49" s="3" t="str">
        <f t="shared" si="5"/>
        <v>Fail</v>
      </c>
      <c r="F49" s="3" t="str">
        <f t="shared" si="5"/>
        <v>Fail</v>
      </c>
      <c r="G49" s="3" t="str">
        <f t="shared" si="5"/>
        <v>Fail</v>
      </c>
      <c r="H49" s="9" t="str">
        <f t="shared" si="5"/>
        <v>Fail</v>
      </c>
      <c r="I49" s="1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30.75" customHeight="1">
      <c r="A50" s="52" t="s">
        <v>20</v>
      </c>
      <c r="B50" s="54" t="s">
        <v>49</v>
      </c>
      <c r="C50" s="3" t="s">
        <v>43</v>
      </c>
      <c r="D50" s="17"/>
      <c r="E50" s="17"/>
      <c r="F50" s="17"/>
      <c r="G50" s="17"/>
      <c r="H50" s="18"/>
      <c r="I50" s="1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30.75" customHeight="1">
      <c r="A51" s="53"/>
      <c r="B51" s="55"/>
      <c r="C51" s="3" t="s">
        <v>44</v>
      </c>
      <c r="D51" s="17"/>
      <c r="E51" s="17"/>
      <c r="F51" s="17"/>
      <c r="G51" s="17"/>
      <c r="H51" s="18"/>
      <c r="I51" s="1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30.75" customHeight="1">
      <c r="A52" s="52" t="s">
        <v>22</v>
      </c>
      <c r="B52" s="55"/>
      <c r="C52" s="3" t="s">
        <v>43</v>
      </c>
      <c r="D52" s="17"/>
      <c r="E52" s="17"/>
      <c r="F52" s="17"/>
      <c r="G52" s="17"/>
      <c r="H52" s="18"/>
      <c r="I52" s="1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30.75" customHeight="1">
      <c r="A53" s="53"/>
      <c r="B53" s="56"/>
      <c r="C53" s="3" t="s">
        <v>44</v>
      </c>
      <c r="D53" s="17"/>
      <c r="E53" s="17"/>
      <c r="F53" s="17"/>
      <c r="G53" s="17"/>
      <c r="H53" s="18"/>
      <c r="I53" s="1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30.75" customHeight="1">
      <c r="A54" s="48" t="s">
        <v>45</v>
      </c>
      <c r="B54" s="35"/>
      <c r="C54" s="44"/>
      <c r="D54" s="17"/>
      <c r="E54" s="17"/>
      <c r="F54" s="17"/>
      <c r="G54" s="17"/>
      <c r="H54" s="18"/>
      <c r="I54" s="1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0.75" customHeight="1">
      <c r="A55" s="48" t="s">
        <v>46</v>
      </c>
      <c r="B55" s="35"/>
      <c r="C55" s="44"/>
      <c r="D55" s="17"/>
      <c r="E55" s="17"/>
      <c r="F55" s="17"/>
      <c r="G55" s="17"/>
      <c r="H55" s="18"/>
      <c r="I55" s="1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30.75" customHeight="1">
      <c r="A56" s="48" t="s">
        <v>47</v>
      </c>
      <c r="B56" s="35"/>
      <c r="C56" s="44"/>
      <c r="D56" s="3" t="str">
        <f t="shared" ref="D56:H56" si="6">IF(COUNT(D50, D52, D54) &lt; 3, "Fail", IF(ABS(D52 - D50) &lt;= D54, "Pass", "Fail"))</f>
        <v>Fail</v>
      </c>
      <c r="E56" s="3" t="str">
        <f t="shared" si="6"/>
        <v>Fail</v>
      </c>
      <c r="F56" s="3" t="str">
        <f t="shared" si="6"/>
        <v>Fail</v>
      </c>
      <c r="G56" s="3" t="str">
        <f t="shared" si="6"/>
        <v>Fail</v>
      </c>
      <c r="H56" s="9" t="str">
        <f t="shared" si="6"/>
        <v>Fail</v>
      </c>
      <c r="I56" s="1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30.75" customHeight="1">
      <c r="A57" s="48" t="s">
        <v>48</v>
      </c>
      <c r="B57" s="35"/>
      <c r="C57" s="44"/>
      <c r="D57" s="3" t="str">
        <f t="shared" ref="D57:H57" si="7">IF(COUNT(D51, D53, D55) &lt; 3, "Fail", IF(ABS(D53 - D51) &lt;= D55, "Pass", "Fail"))</f>
        <v>Fail</v>
      </c>
      <c r="E57" s="3" t="str">
        <f t="shared" si="7"/>
        <v>Fail</v>
      </c>
      <c r="F57" s="3" t="str">
        <f t="shared" si="7"/>
        <v>Fail</v>
      </c>
      <c r="G57" s="3" t="str">
        <f t="shared" si="7"/>
        <v>Fail</v>
      </c>
      <c r="H57" s="9" t="str">
        <f t="shared" si="7"/>
        <v>Fail</v>
      </c>
      <c r="I57" s="1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30.75" customHeight="1">
      <c r="A58" s="52" t="s">
        <v>20</v>
      </c>
      <c r="B58" s="57" t="s">
        <v>50</v>
      </c>
      <c r="C58" s="3" t="s">
        <v>43</v>
      </c>
      <c r="D58" s="17"/>
      <c r="E58" s="17"/>
      <c r="F58" s="17"/>
      <c r="G58" s="17"/>
      <c r="H58" s="18"/>
      <c r="I58" s="1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30.75" customHeight="1">
      <c r="A59" s="53"/>
      <c r="B59" s="55"/>
      <c r="C59" s="3" t="s">
        <v>44</v>
      </c>
      <c r="D59" s="17"/>
      <c r="E59" s="17"/>
      <c r="F59" s="17"/>
      <c r="G59" s="17"/>
      <c r="H59" s="18"/>
      <c r="I59" s="1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30.75" customHeight="1">
      <c r="A60" s="52" t="s">
        <v>22</v>
      </c>
      <c r="B60" s="55"/>
      <c r="C60" s="3" t="s">
        <v>43</v>
      </c>
      <c r="D60" s="17"/>
      <c r="E60" s="17"/>
      <c r="F60" s="17"/>
      <c r="G60" s="17"/>
      <c r="H60" s="18"/>
      <c r="I60" s="1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30.75" customHeight="1">
      <c r="A61" s="53"/>
      <c r="B61" s="56"/>
      <c r="C61" s="3" t="s">
        <v>44</v>
      </c>
      <c r="D61" s="17"/>
      <c r="E61" s="17"/>
      <c r="F61" s="17"/>
      <c r="G61" s="17"/>
      <c r="H61" s="18"/>
      <c r="I61" s="1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30.75" customHeight="1">
      <c r="A62" s="48" t="s">
        <v>45</v>
      </c>
      <c r="B62" s="35"/>
      <c r="C62" s="44"/>
      <c r="D62" s="17"/>
      <c r="E62" s="17"/>
      <c r="F62" s="17"/>
      <c r="G62" s="17"/>
      <c r="H62" s="18"/>
      <c r="I62" s="1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30.75" customHeight="1">
      <c r="A63" s="48" t="s">
        <v>46</v>
      </c>
      <c r="B63" s="35"/>
      <c r="C63" s="44"/>
      <c r="D63" s="17"/>
      <c r="E63" s="17"/>
      <c r="F63" s="17"/>
      <c r="G63" s="17"/>
      <c r="H63" s="18"/>
      <c r="I63" s="1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30.75" customHeight="1">
      <c r="A64" s="48" t="s">
        <v>47</v>
      </c>
      <c r="B64" s="35"/>
      <c r="C64" s="44"/>
      <c r="D64" s="3" t="str">
        <f t="shared" ref="D64:H64" si="8">IF(COUNT(D58, D60, D62) &lt; 3, "Fail", IF(ABS(D60 - D58) &lt;= D62, "Pass", "Fail"))</f>
        <v>Fail</v>
      </c>
      <c r="E64" s="3" t="str">
        <f t="shared" si="8"/>
        <v>Fail</v>
      </c>
      <c r="F64" s="3" t="str">
        <f t="shared" si="8"/>
        <v>Fail</v>
      </c>
      <c r="G64" s="3" t="str">
        <f t="shared" si="8"/>
        <v>Fail</v>
      </c>
      <c r="H64" s="9" t="str">
        <f t="shared" si="8"/>
        <v>Fail</v>
      </c>
      <c r="I64" s="1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30.75" customHeight="1">
      <c r="A65" s="49" t="s">
        <v>48</v>
      </c>
      <c r="B65" s="38"/>
      <c r="C65" s="46"/>
      <c r="D65" s="19" t="str">
        <f t="shared" ref="D65:H65" si="9">IF(COUNT(D59, D61, D63) &lt; 3, "Fail", IF(ABS(D61 - D59) &lt;= D63, "Pass", "Fail"))</f>
        <v>Fail</v>
      </c>
      <c r="E65" s="19" t="str">
        <f t="shared" si="9"/>
        <v>Fail</v>
      </c>
      <c r="F65" s="19" t="str">
        <f t="shared" si="9"/>
        <v>Fail</v>
      </c>
      <c r="G65" s="19" t="str">
        <f t="shared" si="9"/>
        <v>Fail</v>
      </c>
      <c r="H65" s="11" t="str">
        <f t="shared" si="9"/>
        <v>Fail</v>
      </c>
      <c r="I65" s="1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30.75" customHeight="1">
      <c r="A66" s="27"/>
      <c r="B66" s="28"/>
      <c r="C66" s="28"/>
      <c r="D66" s="28"/>
      <c r="E66" s="28"/>
      <c r="F66" s="28"/>
      <c r="G66" s="28"/>
      <c r="H66" s="2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30.75" customHeight="1">
      <c r="A67" s="50" t="s">
        <v>51</v>
      </c>
      <c r="B67" s="30"/>
      <c r="C67" s="30"/>
      <c r="D67" s="30"/>
      <c r="E67" s="30"/>
      <c r="F67" s="30"/>
      <c r="G67" s="30"/>
      <c r="H67" s="3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30.75" customHeight="1">
      <c r="A68" s="4"/>
      <c r="B68" s="51" t="s">
        <v>20</v>
      </c>
      <c r="C68" s="35"/>
      <c r="D68" s="44"/>
      <c r="E68" s="51" t="s">
        <v>22</v>
      </c>
      <c r="F68" s="35"/>
      <c r="G68" s="44"/>
      <c r="H68" s="12" t="s">
        <v>23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30.75" customHeight="1">
      <c r="A69" s="4" t="s">
        <v>52</v>
      </c>
      <c r="B69" s="43">
        <v>1.3</v>
      </c>
      <c r="C69" s="35"/>
      <c r="D69" s="44"/>
      <c r="E69" s="43"/>
      <c r="F69" s="35"/>
      <c r="G69" s="44"/>
      <c r="H69" s="1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30.75" customHeight="1">
      <c r="A70" s="4" t="s">
        <v>53</v>
      </c>
      <c r="B70" s="43" t="s">
        <v>70</v>
      </c>
      <c r="C70" s="35"/>
      <c r="D70" s="44"/>
      <c r="E70" s="43"/>
      <c r="F70" s="35"/>
      <c r="G70" s="44"/>
      <c r="H70" s="1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30.75" customHeight="1">
      <c r="A71" s="4" t="s">
        <v>54</v>
      </c>
      <c r="B71" s="43" t="s">
        <v>70</v>
      </c>
      <c r="C71" s="35"/>
      <c r="D71" s="44"/>
      <c r="E71" s="43"/>
      <c r="F71" s="35"/>
      <c r="G71" s="44"/>
      <c r="H71" s="1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30.75" customHeight="1">
      <c r="A72" s="4" t="s">
        <v>55</v>
      </c>
      <c r="B72" s="43" t="s">
        <v>70</v>
      </c>
      <c r="C72" s="35"/>
      <c r="D72" s="44"/>
      <c r="E72" s="43"/>
      <c r="F72" s="35"/>
      <c r="G72" s="44"/>
      <c r="H72" s="1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30.75" customHeight="1">
      <c r="A73" s="2" t="s">
        <v>56</v>
      </c>
      <c r="B73" s="43"/>
      <c r="C73" s="35"/>
      <c r="D73" s="44"/>
      <c r="E73" s="43"/>
      <c r="F73" s="35"/>
      <c r="G73" s="44"/>
      <c r="H73" s="1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30.75" customHeight="1">
      <c r="A74" s="2" t="s">
        <v>57</v>
      </c>
      <c r="B74" s="43" t="s">
        <v>70</v>
      </c>
      <c r="C74" s="35"/>
      <c r="D74" s="44"/>
      <c r="E74" s="43"/>
      <c r="F74" s="35"/>
      <c r="G74" s="44"/>
      <c r="H74" s="1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30.75" customHeight="1">
      <c r="A75" s="5" t="s">
        <v>58</v>
      </c>
      <c r="B75" s="58" t="s">
        <v>70</v>
      </c>
      <c r="C75" s="38"/>
      <c r="D75" s="46"/>
      <c r="E75" s="58"/>
      <c r="F75" s="38"/>
      <c r="G75" s="46"/>
      <c r="H75" s="20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30.75" customHeight="1">
      <c r="A76" s="59"/>
      <c r="B76" s="28"/>
      <c r="C76" s="28"/>
      <c r="D76" s="28"/>
      <c r="E76" s="28"/>
      <c r="F76" s="28"/>
      <c r="G76" s="28"/>
      <c r="H76" s="2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30.75" customHeight="1">
      <c r="A77" s="50" t="s">
        <v>59</v>
      </c>
      <c r="B77" s="30"/>
      <c r="C77" s="30"/>
      <c r="D77" s="30"/>
      <c r="E77" s="30"/>
      <c r="F77" s="30"/>
      <c r="G77" s="30"/>
      <c r="H77" s="3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30.75" customHeight="1">
      <c r="A78" s="4" t="s">
        <v>60</v>
      </c>
      <c r="B78" s="60" t="s">
        <v>20</v>
      </c>
      <c r="C78" s="44"/>
      <c r="D78" s="60" t="s">
        <v>22</v>
      </c>
      <c r="E78" s="44"/>
      <c r="F78" s="51" t="s">
        <v>23</v>
      </c>
      <c r="G78" s="44"/>
      <c r="H78" s="12" t="s">
        <v>61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30.75" customHeight="1">
      <c r="A79" s="4" t="s">
        <v>62</v>
      </c>
      <c r="B79" s="61"/>
      <c r="C79" s="44"/>
      <c r="D79" s="61"/>
      <c r="E79" s="44"/>
      <c r="F79" s="62" t="str">
        <f t="shared" ref="F79:F82" si="10">IF(OR(B79="", D79=""), "Fail", "Pass")</f>
        <v>Fail</v>
      </c>
      <c r="G79" s="44"/>
      <c r="H79" s="1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30.75" customHeight="1">
      <c r="A80" s="4" t="s">
        <v>63</v>
      </c>
      <c r="B80" s="61"/>
      <c r="C80" s="44"/>
      <c r="D80" s="61"/>
      <c r="E80" s="44"/>
      <c r="F80" s="62" t="str">
        <f t="shared" si="10"/>
        <v>Fail</v>
      </c>
      <c r="G80" s="44"/>
      <c r="H80" s="1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30.75" customHeight="1">
      <c r="A81" s="4" t="s">
        <v>64</v>
      </c>
      <c r="B81" s="61"/>
      <c r="C81" s="44"/>
      <c r="D81" s="61"/>
      <c r="E81" s="44"/>
      <c r="F81" s="62" t="str">
        <f t="shared" si="10"/>
        <v>Fail</v>
      </c>
      <c r="G81" s="44"/>
      <c r="H81" s="1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30.75" customHeight="1">
      <c r="A82" s="10" t="s">
        <v>65</v>
      </c>
      <c r="B82" s="45"/>
      <c r="C82" s="46"/>
      <c r="D82" s="45"/>
      <c r="E82" s="46"/>
      <c r="F82" s="47" t="str">
        <f t="shared" si="10"/>
        <v>Fail</v>
      </c>
      <c r="G82" s="46"/>
      <c r="H82" s="2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30.75" customHeight="1">
      <c r="A83" s="27"/>
      <c r="B83" s="28"/>
      <c r="C83" s="28"/>
      <c r="D83" s="28"/>
      <c r="E83" s="28"/>
      <c r="F83" s="28"/>
      <c r="G83" s="28"/>
      <c r="H83" s="2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30.75" customHeight="1">
      <c r="A84" s="22" t="s">
        <v>66</v>
      </c>
      <c r="B84" s="29" t="str">
        <f>IF(COUNTIF(H13:H82, "Fail") + COUNTIF(D40:H65, "Fail") + COUNTIF(F79:F82, "Fail") &gt; 0, "FAIL", "PASS")</f>
        <v>FAIL</v>
      </c>
      <c r="C84" s="30"/>
      <c r="D84" s="30"/>
      <c r="E84" s="31"/>
      <c r="F84" s="32" t="s">
        <v>77</v>
      </c>
      <c r="G84" s="30"/>
      <c r="H84" s="3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30.75" customHeight="1">
      <c r="A85" s="23" t="s">
        <v>67</v>
      </c>
      <c r="B85" s="34"/>
      <c r="C85" s="35"/>
      <c r="D85" s="35"/>
      <c r="E85" s="35"/>
      <c r="F85" s="35"/>
      <c r="G85" s="35"/>
      <c r="H85" s="3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30.75" customHeight="1">
      <c r="A86" s="24" t="s">
        <v>68</v>
      </c>
      <c r="B86" s="37"/>
      <c r="C86" s="38"/>
      <c r="D86" s="38"/>
      <c r="E86" s="38"/>
      <c r="F86" s="38"/>
      <c r="G86" s="38"/>
      <c r="H86" s="3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30.75" customHeight="1">
      <c r="A87" s="25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30.75" customHeight="1">
      <c r="A88" s="25"/>
      <c r="B88" s="1"/>
      <c r="C88" s="1"/>
      <c r="D88" s="1"/>
      <c r="E88" s="1"/>
      <c r="F88" s="26" t="s">
        <v>69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52.5" customHeight="1">
      <c r="A89" s="25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30.75" customHeight="1">
      <c r="A90" s="25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25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25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25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25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25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25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25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25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25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</sheetData>
  <mergeCells count="138">
    <mergeCell ref="D19:E19"/>
    <mergeCell ref="F19:G19"/>
    <mergeCell ref="B17:C17"/>
    <mergeCell ref="D17:E17"/>
    <mergeCell ref="F17:G17"/>
    <mergeCell ref="B18:C18"/>
    <mergeCell ref="D18:E18"/>
    <mergeCell ref="F18:G18"/>
    <mergeCell ref="B19:C19"/>
    <mergeCell ref="B20:C20"/>
    <mergeCell ref="D20:E20"/>
    <mergeCell ref="F20:G20"/>
    <mergeCell ref="A21:H21"/>
    <mergeCell ref="A22:H22"/>
    <mergeCell ref="D23:E23"/>
    <mergeCell ref="F23:G23"/>
    <mergeCell ref="B23:C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A1:H1"/>
    <mergeCell ref="B2:C2"/>
    <mergeCell ref="D2:E2"/>
    <mergeCell ref="G2:H2"/>
    <mergeCell ref="A3:H3"/>
    <mergeCell ref="A4:H4"/>
    <mergeCell ref="A5:H5"/>
    <mergeCell ref="B6:C6"/>
    <mergeCell ref="E6:F6"/>
    <mergeCell ref="G6:H6"/>
    <mergeCell ref="B7:C7"/>
    <mergeCell ref="E7:F7"/>
    <mergeCell ref="B8:C8"/>
    <mergeCell ref="G7:H9"/>
    <mergeCell ref="D13:E13"/>
    <mergeCell ref="F13:G13"/>
    <mergeCell ref="E8:F8"/>
    <mergeCell ref="A10:H10"/>
    <mergeCell ref="A11:H11"/>
    <mergeCell ref="B12:C12"/>
    <mergeCell ref="D12:E12"/>
    <mergeCell ref="F12:G12"/>
    <mergeCell ref="B13:C13"/>
    <mergeCell ref="D16:E16"/>
    <mergeCell ref="F16:G16"/>
    <mergeCell ref="B14:C14"/>
    <mergeCell ref="D14:E14"/>
    <mergeCell ref="F14:G14"/>
    <mergeCell ref="B15:C15"/>
    <mergeCell ref="D15:E15"/>
    <mergeCell ref="F15:G15"/>
    <mergeCell ref="B16:C16"/>
    <mergeCell ref="B29:C29"/>
    <mergeCell ref="D29:E29"/>
    <mergeCell ref="F29:G29"/>
    <mergeCell ref="D30:E30"/>
    <mergeCell ref="F30:G30"/>
    <mergeCell ref="A31:H31"/>
    <mergeCell ref="A32:H32"/>
    <mergeCell ref="B73:D73"/>
    <mergeCell ref="B74:D74"/>
    <mergeCell ref="B30:C30"/>
    <mergeCell ref="A34:A35"/>
    <mergeCell ref="B34:B37"/>
    <mergeCell ref="A36:A37"/>
    <mergeCell ref="A38:C38"/>
    <mergeCell ref="A39:C39"/>
    <mergeCell ref="A40:C40"/>
    <mergeCell ref="A41:C41"/>
    <mergeCell ref="A42:A43"/>
    <mergeCell ref="B42:B45"/>
    <mergeCell ref="A44:A45"/>
    <mergeCell ref="A46:C46"/>
    <mergeCell ref="A47:C47"/>
    <mergeCell ref="A48:C48"/>
    <mergeCell ref="A49:C49"/>
    <mergeCell ref="B75:D75"/>
    <mergeCell ref="E74:G74"/>
    <mergeCell ref="E75:G75"/>
    <mergeCell ref="A76:H76"/>
    <mergeCell ref="A77:H77"/>
    <mergeCell ref="B78:C78"/>
    <mergeCell ref="D78:E78"/>
    <mergeCell ref="F78:G78"/>
    <mergeCell ref="D81:E81"/>
    <mergeCell ref="F81:G81"/>
    <mergeCell ref="B79:C79"/>
    <mergeCell ref="D79:E79"/>
    <mergeCell ref="F79:G79"/>
    <mergeCell ref="B80:C80"/>
    <mergeCell ref="D80:E80"/>
    <mergeCell ref="F80:G80"/>
    <mergeCell ref="B81:C81"/>
    <mergeCell ref="B69:D69"/>
    <mergeCell ref="E69:G69"/>
    <mergeCell ref="A50:A51"/>
    <mergeCell ref="B50:B53"/>
    <mergeCell ref="A52:A53"/>
    <mergeCell ref="A54:C54"/>
    <mergeCell ref="A55:C55"/>
    <mergeCell ref="A56:C56"/>
    <mergeCell ref="A57:C57"/>
    <mergeCell ref="A58:A59"/>
    <mergeCell ref="B58:B61"/>
    <mergeCell ref="A60:A61"/>
    <mergeCell ref="A83:H83"/>
    <mergeCell ref="B84:E84"/>
    <mergeCell ref="F84:H84"/>
    <mergeCell ref="B85:H85"/>
    <mergeCell ref="B86:H86"/>
    <mergeCell ref="B28:H28"/>
    <mergeCell ref="B70:D70"/>
    <mergeCell ref="E70:G70"/>
    <mergeCell ref="B71:D71"/>
    <mergeCell ref="E71:G71"/>
    <mergeCell ref="B72:D72"/>
    <mergeCell ref="E72:G72"/>
    <mergeCell ref="E73:G73"/>
    <mergeCell ref="B82:C82"/>
    <mergeCell ref="D82:E82"/>
    <mergeCell ref="F82:G82"/>
    <mergeCell ref="A62:C62"/>
    <mergeCell ref="A63:C63"/>
    <mergeCell ref="A64:C64"/>
    <mergeCell ref="A65:C65"/>
    <mergeCell ref="A66:H66"/>
    <mergeCell ref="A67:H67"/>
    <mergeCell ref="B68:D68"/>
    <mergeCell ref="E68:G68"/>
  </mergeCells>
  <conditionalFormatting sqref="B84:E84">
    <cfRule type="containsText" dxfId="3" priority="3" operator="containsText" text="Pass">
      <formula>NOT(ISERROR(SEARCH(("Pass"),(B84))))</formula>
    </cfRule>
    <cfRule type="containsText" dxfId="2" priority="5" operator="containsText" text="Fail">
      <formula>NOT(ISERROR(SEARCH(("Fail"),(B84))))</formula>
    </cfRule>
  </conditionalFormatting>
  <conditionalFormatting sqref="G7:H9">
    <cfRule type="containsText" dxfId="1" priority="1" operator="containsText" text="Pass">
      <formula>NOT(ISERROR(SEARCH(("Pass"),(G7))))</formula>
    </cfRule>
    <cfRule type="containsText" dxfId="0" priority="2" operator="containsText" text="Fail">
      <formula>NOT(ISERROR(SEARCH(("Fail"),(G7))))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FRM-DEV-006 - Air Strut Develop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Tollefson</dc:creator>
  <cp:lastModifiedBy>Shawn Parnell</cp:lastModifiedBy>
  <dcterms:created xsi:type="dcterms:W3CDTF">2026-02-27T20:22:34Z</dcterms:created>
  <dcterms:modified xsi:type="dcterms:W3CDTF">2026-10-13T19:54:06Z</dcterms:modified>
</cp:coreProperties>
</file>